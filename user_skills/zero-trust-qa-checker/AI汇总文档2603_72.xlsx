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in" ContentType="application/vnd.ms-office.vbaProject"/>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xWindow="4240" yWindow="640" windowWidth="28040" windowHeight="15800" activeTab="1"/>
  </bookViews>
  <sheets>
    <sheet name="分层标准化规则" sheetId="2" r:id="rId5" state="hidden"/>
    <sheet name="商家分析_底表" sheetId="3" r:id="rId6"/>
    <sheet name="商家分析_中间表" sheetId="4" r:id="rId7"/>
    <sheet name="商家总数" sheetId="5" r:id="rId8"/>
    <sheet name="商家结构" sheetId="6" r:id="rId9"/>
    <sheet name="Daily_Logs_Fresh_20260410" sheetId="7" r:id="rId10"/>
    <sheet name="专属技能清单_Sheet" sheetId="8" r:id="rId11"/>
    <sheet name="图书馆" sheetId="9" r:id="rId12"/>
    <sheet name="图书馆_temp" sheetId="10" r:id="rId13" state="hidden"/>
    <sheet name="常用风神链接" sheetId="11" r:id="rId14"/>
    <sheet name="常用风神链接_temp" sheetId="12" r:id="rId15" state="hidden"/>
    <sheet name="Daily_Logs_temp" sheetId="13" r:id="rId16" state="hidden"/>
    <sheet name="Daily_Logs_Backup" sheetId="14" r:id="rId17" state="hidden"/>
    <sheet name="CheckSheets" sheetId="15" r:id="rId18" state="hidden"/>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<sst xmlns="http://schemas.openxmlformats.org/spreadsheetml/2006/main" count="1" uniqueCount="1">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</sst>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yyyy/m/d"/>
    <numFmt numFmtId="165" formatCode="yyyy/MM/dd"/>
  </numFmts>
  <fonts count="3">
    <font>
      <sz val="10"/>
      <color theme="1"/>
      <name val="Calibri"/>
      <family val="2"/>
      <scheme val="minor"/>
    </font>
    <font>
      <sz val="10"/>
      <color rgb="FF000000"/>
      <name val="Calibri"/>
      <family val="2"/>
      <scheme val="minor"/>
    </font>
    <font>
      <u val="single"/>
      <sz val="11"/>
      <color rgb="FF1265BE"/>
      <name val="Calibri"/>
      <family val="2"/>
      <scheme val="minor"/>
    </font>
  </fonts>
  <fills count="2">
    <fill>
      <patternFill patternType="none">
        <fgColor/>
        <bgColor/>
      </patternFill>
    </fill>
    <fill>
      <patternFill patternType="gray125">
        <fgColor/>
        <bgColor/>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false" applyFont="false" applyFill="false" applyBorder="false" applyAlignment="true" applyProtection="false"/>
  </cellStyleXfs>
  <cellXfs count="8">
    <xf numFmtId="0" fontId="0" fillId="0" borderId="0" xfId="0" applyNumberFormat="false" applyFont="false" applyFill="false" applyBorder="false" applyAlignment="false" applyProtection="false">
      <alignment vertical="center"/>
    </xf>
    <xf numFmtId="0" fontId="0" fillId="0" borderId="1" xfId="0" applyNumberFormat="false" applyFont="false" applyFill="false" applyBorder="false" applyAlignment="false" applyProtection="false">
      <alignment/>
    </xf>
    <xf numFmtId="164" fontId="1" fillId="0" borderId="2" xfId="0" applyNumberFormat="true" applyFont="true" applyFill="false" applyBorder="false" applyAlignment="true" applyProtection="false">
      <alignment vertical="center"/>
    </xf>
    <xf numFmtId="0" fontId="1" fillId="0" borderId="3" xfId="0" applyNumberFormat="false" applyFont="true" applyFill="false" applyBorder="false" applyAlignment="true" applyProtection="false">
      <alignment vertical="center" wrapText="true"/>
    </xf>
    <xf numFmtId="0" fontId="2" fillId="0" borderId="4" xfId="0" applyNumberFormat="false" applyFont="true" applyFill="false" applyBorder="false" applyAlignment="false" applyProtection="false">
      <alignment/>
    </xf>
    <xf numFmtId="0" fontId="1" fillId="0" borderId="5" xfId="0" applyNumberFormat="false" applyFont="true" applyFill="false" applyBorder="false" applyAlignment="true" applyProtection="false">
      <alignment vertical="center"/>
    </xf>
    <xf numFmtId="0" fontId="1" fillId="0" borderId="6" xfId="0" applyNumberFormat="false" applyFont="true" applyFill="false" applyBorder="false" applyAlignment="true" applyProtection="false">
      <alignment horizontal="right" vertical="center"/>
    </xf>
    <xf numFmtId="165" fontId="1" fillId="0" borderId="7" xfId="0" applyNumberFormat="true" applyFont="true" applyFill="false" applyBorder="false" applyAlignment="true" applyProtection="false">
      <alignment vertical="center"/>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6.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7.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8.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9.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0.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1.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3.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4.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_rels/sheet15.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82"/>
  </cols>
  <sheetData>
    <row r="1">
      <c r="A1" t="str">
        <v>对象</v>
      </c>
      <c r="B1" t="str">
        <v>层级范围</v>
      </c>
      <c r="C1" t="str">
        <v>划分逻辑</v>
      </c>
      <c r="D1" t="str">
        <v>备注</v>
      </c>
    </row>
    <row r="2">
      <c r="A2" t="str">
        <v>达人</v>
      </c>
      <c r="B2" t="str">
        <v>T1-T6</v>
      </c>
      <c r="C2" t="str">
        <v>基于日均GMV阈值手动切分：T1(&lt;0.01), T2(0.01-0.1), T3(0.1-0.5), T4(0.5-1), T5(1-3.333), T6(&gt;3.333)</v>
      </c>
      <c r="D2" t="str">
        <v>达人侧阈值口径（历史v6规则）</v>
      </c>
    </row>
    <row r="3">
      <c r="A3" t="str">
        <v>商家</v>
      </c>
      <c r="B3" t="str">
        <v>T1-T5</v>
      </c>
      <c r="C3" t="str">
        <v>直接使用原生字段 gmv_tier_1d（仅 T1/T2/T3/T4/T5），不进行二次阈值计算</v>
      </c>
      <c r="D3" t="str">
        <v>商家侧原生口径</v>
      </c>
    </row>
  </sheetData>
  <picture r:id="rId1"/>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sheetData>
    <row r="1">
      <c r="A1" t="str">
        <v>RowKey</v>
      </c>
      <c r="B1" t="str">
        <v>运营国家</v>
      </c>
      <c r="C1" t="str">
        <v>Region</v>
      </c>
      <c r="D1" t="str">
        <v>Tier</v>
      </c>
      <c r="E1" t="str">
        <v>商家数量</v>
      </c>
      <c r="F1" t="str">
        <v>总GMV_K</v>
      </c>
    </row>
    <row r="2">
      <c r="A2" t="str">
        <v>DE_T1</v>
      </c>
      <c r="B2" t="str">
        <v>DE</v>
      </c>
      <c r="C2" t="str">
        <v>EU4</v>
      </c>
      <c r="D2" t="str">
        <v>T1</v>
      </c>
      <c r="E2">
        <v>27777</v>
      </c>
      <c r="F2" s="1">
        <v>435.971986980598</v>
      </c>
    </row>
    <row r="3">
      <c r="A3" t="str">
        <v>DE_T2</v>
      </c>
      <c r="B3" t="str">
        <v>DE</v>
      </c>
      <c r="C3" t="str">
        <v>EU4</v>
      </c>
      <c r="D3" t="str">
        <v>T2</v>
      </c>
      <c r="E3">
        <v>2245</v>
      </c>
      <c r="F3">
        <v>610.138214461256</v>
      </c>
    </row>
    <row r="4">
      <c r="A4" t="str">
        <v>DE_T3</v>
      </c>
      <c r="B4" t="str">
        <v>DE</v>
      </c>
      <c r="C4" t="str">
        <v>EU4</v>
      </c>
      <c r="D4" t="str">
        <v>T3</v>
      </c>
      <c r="E4">
        <v>348</v>
      </c>
      <c r="F4" s="1">
        <v>479.46092109979</v>
      </c>
    </row>
    <row r="5">
      <c r="A5" t="str">
        <v>DE_T4</v>
      </c>
      <c r="B5" t="str">
        <v>DE</v>
      </c>
      <c r="C5" t="str">
        <v>EU4</v>
      </c>
      <c r="D5" t="str">
        <v>T4</v>
      </c>
      <c r="E5">
        <v>80</v>
      </c>
      <c r="F5" s="1">
        <v>354.281788246548</v>
      </c>
    </row>
    <row r="6">
      <c r="A6" t="str">
        <v>DE_T5</v>
      </c>
      <c r="B6" t="str">
        <v>DE</v>
      </c>
      <c r="C6" t="str">
        <v>EU4</v>
      </c>
      <c r="D6" t="str">
        <v>T5</v>
      </c>
      <c r="E6">
        <v>24</v>
      </c>
      <c r="F6" s="1">
        <v>465.4367212799</v>
      </c>
    </row>
    <row r="7">
      <c r="A7" t="str">
        <v>ES_T1</v>
      </c>
      <c r="B7" t="str">
        <v>ES</v>
      </c>
      <c r="C7" t="str">
        <v>EU4</v>
      </c>
      <c r="D7" t="str">
        <v>T1</v>
      </c>
      <c r="E7">
        <v>26672</v>
      </c>
      <c r="F7" s="1">
        <v>272.073324172256</v>
      </c>
    </row>
    <row r="8">
      <c r="A8" t="str">
        <v>ES_T2</v>
      </c>
      <c r="B8" t="str">
        <v>ES</v>
      </c>
      <c r="C8" t="str">
        <v>EU4</v>
      </c>
      <c r="D8" t="str">
        <v>T2</v>
      </c>
      <c r="E8">
        <v>1392</v>
      </c>
      <c r="F8" s="1">
        <v>377.660235786165</v>
      </c>
    </row>
    <row r="9">
      <c r="A9" t="str">
        <v>ES_T3</v>
      </c>
      <c r="B9" t="str">
        <v>ES</v>
      </c>
      <c r="C9" t="str">
        <v>EU4</v>
      </c>
      <c r="D9" t="str">
        <v>T3</v>
      </c>
      <c r="E9">
        <v>209</v>
      </c>
      <c r="F9">
        <v>298.456581585439</v>
      </c>
    </row>
    <row r="10">
      <c r="A10" t="str">
        <v>ES_T4</v>
      </c>
      <c r="B10" t="str">
        <v>ES</v>
      </c>
      <c r="C10" t="str">
        <v>EU4</v>
      </c>
      <c r="D10" t="str">
        <v>T4</v>
      </c>
      <c r="E10">
        <v>34</v>
      </c>
      <c r="F10" s="1">
        <v>147.49070092429</v>
      </c>
    </row>
    <row r="11">
      <c r="A11" t="str">
        <v>ES_T5</v>
      </c>
      <c r="B11" t="str">
        <v>ES</v>
      </c>
      <c r="C11" t="str">
        <v>EU4</v>
      </c>
      <c r="D11" t="str">
        <v>T5</v>
      </c>
      <c r="E11">
        <v>7</v>
      </c>
      <c r="F11" s="1">
        <v>107.969792262226</v>
      </c>
    </row>
    <row r="12">
      <c r="A12" t="str">
        <v>FR_T1</v>
      </c>
      <c r="B12" t="str">
        <v>FR</v>
      </c>
      <c r="C12" t="str">
        <v>EU4</v>
      </c>
      <c r="D12" t="str">
        <v>T1</v>
      </c>
      <c r="E12">
        <v>29318</v>
      </c>
      <c r="F12" s="1">
        <v>346.65239263449</v>
      </c>
    </row>
    <row r="13">
      <c r="A13" t="str">
        <v>FR_T2</v>
      </c>
      <c r="B13" t="str">
        <v>FR</v>
      </c>
      <c r="C13" t="str">
        <v>EU4</v>
      </c>
      <c r="D13" t="str">
        <v>T2</v>
      </c>
      <c r="E13">
        <v>1768</v>
      </c>
      <c r="F13" s="1">
        <v>514.909115257633</v>
      </c>
    </row>
    <row r="14">
      <c r="A14" t="str">
        <v>FR_T3</v>
      </c>
      <c r="B14" t="str">
        <v>FR</v>
      </c>
      <c r="C14" t="str">
        <v>EU4</v>
      </c>
      <c r="D14" t="str">
        <v>T3</v>
      </c>
      <c r="E14">
        <v>245</v>
      </c>
      <c r="F14">
        <v>358.123124918062</v>
      </c>
    </row>
    <row r="15">
      <c r="A15" t="str">
        <v>FR_T4</v>
      </c>
      <c r="B15" t="str">
        <v>FR</v>
      </c>
      <c r="C15" t="str">
        <v>EU4</v>
      </c>
      <c r="D15" t="str">
        <v>T4</v>
      </c>
      <c r="E15">
        <v>50</v>
      </c>
      <c r="F15" s="1">
        <v>226.589218548161</v>
      </c>
    </row>
    <row r="16">
      <c r="A16" t="str">
        <v>FR_T5</v>
      </c>
      <c r="B16" t="str">
        <v>FR</v>
      </c>
      <c r="C16" t="str">
        <v>EU4</v>
      </c>
      <c r="D16" t="str">
        <v>T5</v>
      </c>
      <c r="E16">
        <v>12</v>
      </c>
      <c r="F16" s="1">
        <v>133.113510429613</v>
      </c>
    </row>
    <row r="17">
      <c r="A17" t="str">
        <v>GB_T1</v>
      </c>
      <c r="B17" t="str">
        <v>GB</v>
      </c>
      <c r="C17" t="str">
        <v>UK</v>
      </c>
      <c r="D17" t="str">
        <v>T1</v>
      </c>
      <c r="E17">
        <v>83376</v>
      </c>
      <c r="F17" s="1">
        <v>1213.33224589216</v>
      </c>
    </row>
    <row r="18">
      <c r="A18" t="str">
        <v>GB_T2</v>
      </c>
      <c r="B18" t="str">
        <v>GB</v>
      </c>
      <c r="C18" t="str">
        <v>UK</v>
      </c>
      <c r="D18" t="str">
        <v>T2</v>
      </c>
      <c r="E18">
        <v>7644</v>
      </c>
      <c r="F18" s="1">
        <v>2136.18898491016</v>
      </c>
    </row>
    <row r="19">
      <c r="A19" t="str">
        <v>GB_T3</v>
      </c>
      <c r="B19" t="str">
        <v>GB</v>
      </c>
      <c r="C19" t="str">
        <v>UK</v>
      </c>
      <c r="D19" t="str">
        <v>T3</v>
      </c>
      <c r="E19">
        <v>1525</v>
      </c>
      <c r="F19" s="1">
        <v>2157.21943205272</v>
      </c>
    </row>
    <row r="20">
      <c r="A20" t="str">
        <v>GB_T4</v>
      </c>
      <c r="B20" t="str">
        <v>GB</v>
      </c>
      <c r="C20" t="str">
        <v>UK</v>
      </c>
      <c r="D20" t="str">
        <v>T4</v>
      </c>
      <c r="E20">
        <v>462</v>
      </c>
      <c r="F20" s="1">
        <v>2128.18427529626</v>
      </c>
    </row>
    <row r="21">
      <c r="A21" t="str">
        <v>GB_T5</v>
      </c>
      <c r="B21" t="str">
        <v>GB</v>
      </c>
      <c r="C21" t="str">
        <v>UK</v>
      </c>
      <c r="D21" t="str">
        <v>T5</v>
      </c>
      <c r="E21">
        <v>165</v>
      </c>
      <c r="F21" s="1">
        <v>3700.65480372255</v>
      </c>
    </row>
    <row r="22">
      <c r="A22" t="str">
        <v>IT_T1</v>
      </c>
      <c r="B22" t="str">
        <v>IT</v>
      </c>
      <c r="C22" t="str">
        <v>EU4</v>
      </c>
      <c r="D22" t="str">
        <v>T1</v>
      </c>
      <c r="E22">
        <v>27175</v>
      </c>
      <c r="F22" s="1">
        <v>292.255335660417</v>
      </c>
    </row>
    <row r="23">
      <c r="A23" t="str">
        <v>IT_T2</v>
      </c>
      <c r="B23" t="str">
        <v>IT</v>
      </c>
      <c r="C23" t="str">
        <v>EU4</v>
      </c>
      <c r="D23" t="str">
        <v>T2</v>
      </c>
      <c r="E23">
        <v>1282</v>
      </c>
      <c r="F23">
        <v>358.7106901211</v>
      </c>
    </row>
    <row r="24">
      <c r="A24" t="str">
        <v>IT_T3</v>
      </c>
      <c r="B24" t="str">
        <v>IT</v>
      </c>
      <c r="C24" t="str">
        <v>EU4</v>
      </c>
      <c r="D24" t="str">
        <v>T3</v>
      </c>
      <c r="E24">
        <v>212</v>
      </c>
      <c r="F24">
        <v>307.299318978406</v>
      </c>
    </row>
    <row r="25">
      <c r="A25" t="str">
        <v>IT_T4</v>
      </c>
      <c r="B25" t="str">
        <v>IT</v>
      </c>
      <c r="C25" t="str">
        <v>EU4</v>
      </c>
      <c r="D25" t="str">
        <v>T4</v>
      </c>
      <c r="E25">
        <v>51</v>
      </c>
      <c r="F25" s="1">
        <v>237.668859652873</v>
      </c>
    </row>
    <row r="26">
      <c r="A26" t="str">
        <v>IT_T5</v>
      </c>
      <c r="B26" t="str">
        <v>IT</v>
      </c>
      <c r="C26" t="str">
        <v>EU4</v>
      </c>
      <c r="D26" t="str">
        <v>T5</v>
      </c>
      <c r="E26">
        <v>3</v>
      </c>
      <c r="F26" s="1">
        <v>39.7020295281935</v>
      </c>
    </row>
    <row r="27">
      <c r="A27" t="str">
        <v>US_T1</v>
      </c>
      <c r="B27" t="str">
        <v>US</v>
      </c>
      <c r="C27" t="str">
        <v>US</v>
      </c>
      <c r="D27" t="str">
        <v>T1</v>
      </c>
      <c r="E27">
        <v>250737</v>
      </c>
      <c r="F27" s="1">
        <v>6611.82165478122</v>
      </c>
    </row>
    <row r="28">
      <c r="A28" t="str">
        <v>US_T2</v>
      </c>
      <c r="B28" t="str">
        <v>US</v>
      </c>
      <c r="C28" t="str">
        <v>US</v>
      </c>
      <c r="D28" t="str">
        <v>T2</v>
      </c>
      <c r="E28">
        <v>12974</v>
      </c>
      <c r="F28" s="1">
        <v>9990.48225818261</v>
      </c>
    </row>
    <row r="29">
      <c r="A29" t="str">
        <v>US_T3</v>
      </c>
      <c r="B29" t="str">
        <v>US</v>
      </c>
      <c r="C29" t="str">
        <v>US</v>
      </c>
      <c r="D29" t="str">
        <v>T3</v>
      </c>
      <c r="E29">
        <v>3948</v>
      </c>
      <c r="F29" s="1">
        <v>12411.6238303065</v>
      </c>
    </row>
    <row r="30">
      <c r="A30" t="str">
        <v>US_T4</v>
      </c>
      <c r="B30" t="str">
        <v>US</v>
      </c>
      <c r="C30" t="str">
        <v>US</v>
      </c>
      <c r="D30" t="str">
        <v>T4</v>
      </c>
      <c r="E30">
        <v>1439</v>
      </c>
      <c r="F30" s="1">
        <v>13777.7176257836</v>
      </c>
    </row>
    <row r="31">
      <c r="A31" t="str">
        <v>US_T5</v>
      </c>
      <c r="B31" t="str">
        <v>US</v>
      </c>
      <c r="C31" t="str">
        <v>US</v>
      </c>
      <c r="D31" t="str">
        <v>T5</v>
      </c>
      <c r="E31">
        <v>531</v>
      </c>
      <c r="F31" s="1">
        <v>23878.8351107885</v>
      </c>
    </row>
  </sheetData>
  <picture r:id="rId1"/>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RowKey</v>
      </c>
      <c r="B1" t="str">
        <v>国家区域</v>
      </c>
      <c r="C1" t="str">
        <v>Tier层级</v>
      </c>
      <c r="D1" t="str">
        <v>商家绝对数量</v>
      </c>
      <c r="E1" t="str">
        <v>总GMV(K)</v>
      </c>
      <c r="F1" t="str">
        <v>人均ARPU</v>
      </c>
      <c r="G1" t="str">
        <v>基准增量倍数</v>
      </c>
      <c r="H1" t="str">
        <v>商家占比</v>
      </c>
      <c r="I1" t="str">
        <v>GMV占比</v>
      </c>
    </row>
    <row r="2">
      <c r="A2" t="str">
        <v>EU4_T1</v>
      </c>
      <c r="B2" t="str">
        <v>EU4</v>
      </c>
      <c r="C2" t="str">
        <v>T1</v>
      </c>
      <c r="D2">
        <v>50554</v>
      </c>
      <c r="E2" t="str">
        <v>1346.953039447761</v>
      </c>
      <c r="F2" t="str">
        <v>0.02664384696458759</v>
      </c>
      <c r="G2" t="str">
        <v>0.4575333469602617</v>
      </c>
      <c r="H2" t="str">
        <v>0.8987058237929318</v>
      </c>
      <c r="I2" t="str">
        <v>0.2116531565144409</v>
      </c>
    </row>
    <row r="3">
      <c r="A3" t="str">
        <v>EU4_T2</v>
      </c>
      <c r="B3" t="str">
        <v>EU4</v>
      </c>
      <c r="C3" t="str">
        <v>T2</v>
      </c>
      <c r="D3">
        <v>4648</v>
      </c>
      <c r="E3" t="str">
        <v>1861.418255626154</v>
      </c>
      <c r="F3" t="str">
        <v>0.4004772494892758</v>
      </c>
      <c r="G3" t="str">
        <v>0.4575333469602617</v>
      </c>
      <c r="H3" t="str">
        <v>0.08262817322050771</v>
      </c>
      <c r="I3" t="str">
        <v>0.2924935301073348</v>
      </c>
    </row>
    <row r="4">
      <c r="A4" t="str">
        <v>EU4_T3</v>
      </c>
      <c r="B4" t="str">
        <v>EU4</v>
      </c>
      <c r="C4" t="str">
        <v>T3</v>
      </c>
      <c r="D4">
        <v>818</v>
      </c>
      <c r="E4" t="str">
        <v>1443.339946581697</v>
      </c>
      <c r="F4" t="str">
        <v>1.764474262324814</v>
      </c>
      <c r="G4" t="str">
        <v>0.4575333469602617</v>
      </c>
      <c r="H4" t="str">
        <v>0.01454170518381569</v>
      </c>
      <c r="I4" t="str">
        <v>0.2267988910308617</v>
      </c>
    </row>
    <row r="5">
      <c r="A5" t="str">
        <v>EU4_T4</v>
      </c>
      <c r="B5" t="str">
        <v>EU4</v>
      </c>
      <c r="C5" t="str">
        <v>T4</v>
      </c>
      <c r="D5">
        <v>192</v>
      </c>
      <c r="E5" t="str">
        <v>966.0305673718725</v>
      </c>
      <c r="F5" t="str">
        <v>5.031409205061836</v>
      </c>
      <c r="G5" t="str">
        <v>0.4575333469602617</v>
      </c>
      <c r="H5" t="str">
        <v>0.003413211974685344</v>
      </c>
      <c r="I5" t="str">
        <v>0.1517969913468708</v>
      </c>
    </row>
    <row r="6">
      <c r="A6" t="str">
        <v>EU4_T5</v>
      </c>
      <c r="B6" t="str">
        <v>EU4</v>
      </c>
      <c r="C6" t="str">
        <v>T5</v>
      </c>
      <c r="D6">
        <v>40</v>
      </c>
      <c r="E6" t="str">
        <v>746.2220534999319</v>
      </c>
      <c r="F6">
        <v>18.6555513374983</v>
      </c>
      <c r="G6" t="str">
        <v>0.4575333469602617</v>
      </c>
      <c r="H6" t="str">
        <v>0.0007110858280594467</v>
      </c>
      <c r="I6" t="str">
        <v>0.1172574310004918</v>
      </c>
    </row>
    <row r="7">
      <c r="A7" t="str">
        <v>UK_T1</v>
      </c>
      <c r="B7" t="str">
        <v>UK</v>
      </c>
      <c r="C7" t="str">
        <v>T1</v>
      </c>
      <c r="D7">
        <v>83376</v>
      </c>
      <c r="E7" t="str">
        <v>1213.332245892162</v>
      </c>
      <c r="F7" t="str">
        <v>0.01455253605224719</v>
      </c>
      <c r="G7" t="str">
        <v>0.4920297179548433</v>
      </c>
      <c r="H7">
        <v>0.894861117073799</v>
      </c>
      <c r="I7" t="str">
        <v>0.1070375114040343</v>
      </c>
    </row>
    <row r="8">
      <c r="A8" t="str">
        <v>UK_T2</v>
      </c>
      <c r="B8" t="str">
        <v>UK</v>
      </c>
      <c r="C8" t="str">
        <v>T2</v>
      </c>
      <c r="D8">
        <v>7644</v>
      </c>
      <c r="E8" t="str">
        <v>2136.188984910158</v>
      </c>
      <c r="F8" t="str">
        <v>0.2794595741640709</v>
      </c>
      <c r="G8" t="str">
        <v>0.4920297179548433</v>
      </c>
      <c r="H8" t="str">
        <v>0.08204181513759498</v>
      </c>
      <c r="I8" t="str">
        <v>0.1884499102431466</v>
      </c>
    </row>
    <row r="9">
      <c r="A9" t="str">
        <v>UK_T3</v>
      </c>
      <c r="B9" t="str">
        <v>UK</v>
      </c>
      <c r="C9" t="str">
        <v>T3</v>
      </c>
      <c r="D9">
        <v>1525</v>
      </c>
      <c r="E9" t="str">
        <v>2157.219432052721</v>
      </c>
      <c r="F9" t="str">
        <v>1.414570119378833</v>
      </c>
      <c r="G9" t="str">
        <v>0.4920297179548433</v>
      </c>
      <c r="H9" t="str">
        <v>0.01636757824239042</v>
      </c>
      <c r="I9" t="str">
        <v>0.1903051701964489</v>
      </c>
    </row>
    <row r="10">
      <c r="A10" t="str">
        <v>UK_T4</v>
      </c>
      <c r="B10" t="str">
        <v>UK</v>
      </c>
      <c r="C10" t="str">
        <v>T4</v>
      </c>
      <c r="D10">
        <v>462</v>
      </c>
      <c r="E10" t="str">
        <v>2128.184275296258</v>
      </c>
      <c r="F10" t="str">
        <v>4.606459470338221</v>
      </c>
      <c r="G10" t="str">
        <v>0.4920297179548433</v>
      </c>
      <c r="H10" t="str">
        <v>0.004958571244579916</v>
      </c>
      <c r="I10">
        <v>0.187743752305381</v>
      </c>
    </row>
    <row r="11">
      <c r="A11" t="str">
        <v>UK_T5</v>
      </c>
      <c r="B11" t="str">
        <v>UK</v>
      </c>
      <c r="C11" t="str">
        <v>T5</v>
      </c>
      <c r="D11">
        <v>165</v>
      </c>
      <c r="E11" t="str">
        <v>3700.654803722548</v>
      </c>
      <c r="F11" t="str">
        <v>22.42821093165181</v>
      </c>
      <c r="G11" t="str">
        <v>0.4920297179548433</v>
      </c>
      <c r="H11" t="str">
        <v>0.001770918301635685</v>
      </c>
      <c r="I11" t="str">
        <v>0.3264636558509892</v>
      </c>
    </row>
    <row r="12">
      <c r="A12" t="str">
        <v>US_T1</v>
      </c>
      <c r="B12" t="str">
        <v>US</v>
      </c>
      <c r="C12" t="str">
        <v>T1</v>
      </c>
      <c r="D12">
        <v>250737</v>
      </c>
      <c r="E12" t="str">
        <v>6611.821654781215</v>
      </c>
      <c r="F12" t="str">
        <v>0.02636954918811829</v>
      </c>
      <c r="G12">
        <v>1</v>
      </c>
      <c r="H12" t="str">
        <v>0.9299333528663459</v>
      </c>
      <c r="I12" t="str">
        <v>0.09917165148945152</v>
      </c>
    </row>
    <row r="13">
      <c r="A13" t="str">
        <v>US_T2</v>
      </c>
      <c r="B13" t="str">
        <v>US</v>
      </c>
      <c r="C13" t="str">
        <v>T2</v>
      </c>
      <c r="D13">
        <v>12974</v>
      </c>
      <c r="E13" t="str">
        <v>9990.482258182614</v>
      </c>
      <c r="F13" t="str">
        <v>0.7700387126701568</v>
      </c>
      <c r="G13">
        <v>1</v>
      </c>
      <c r="H13" t="str">
        <v>0.04811796950624747</v>
      </c>
      <c r="I13">
        <v>0.149848661450748</v>
      </c>
    </row>
    <row r="14">
      <c r="A14" t="str">
        <v>US_T3</v>
      </c>
      <c r="B14" t="str">
        <v>US</v>
      </c>
      <c r="C14" t="str">
        <v>T3</v>
      </c>
      <c r="D14">
        <v>3948</v>
      </c>
      <c r="E14" t="str">
        <v>12411.62383030647</v>
      </c>
      <c r="F14" t="str">
        <v>3.143775033005691</v>
      </c>
      <c r="G14">
        <v>1</v>
      </c>
      <c r="H14" t="str">
        <v>0.01464234188458957</v>
      </c>
      <c r="I14" t="str">
        <v>0.1861637075505864</v>
      </c>
    </row>
    <row r="15">
      <c r="A15" t="str">
        <v>US_T4</v>
      </c>
      <c r="B15" t="str">
        <v>US</v>
      </c>
      <c r="C15" t="str">
        <v>T4</v>
      </c>
      <c r="D15">
        <v>1439</v>
      </c>
      <c r="E15" t="str">
        <v>13777.71762578361</v>
      </c>
      <c r="F15" t="str">
        <v>9.574508426534823</v>
      </c>
      <c r="G15">
        <v>1</v>
      </c>
      <c r="H15" t="str">
        <v>0.005336963012138902</v>
      </c>
      <c r="I15">
        <v>0.206653942293835</v>
      </c>
    </row>
    <row r="16">
      <c r="A16" t="str">
        <v>US_T5</v>
      </c>
      <c r="B16" t="str">
        <v>US</v>
      </c>
      <c r="C16" t="str">
        <v>T5</v>
      </c>
      <c r="D16">
        <v>531</v>
      </c>
      <c r="E16" t="str">
        <v>23878.83511078853</v>
      </c>
      <c r="F16" t="str">
        <v>44.96955764743603</v>
      </c>
      <c r="G16">
        <v>1</v>
      </c>
      <c r="H16">
        <v>0.00196937273067808</v>
      </c>
      <c r="I16">
        <v>0.358162037215379</v>
      </c>
    </row>
  </sheetData>
  <picture r:id="rId1"/>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Tier</v>
      </c>
      <c r="B1" t="str">
        <v>EU4</v>
      </c>
      <c r="C1" t="str">
        <v>UK</v>
      </c>
      <c r="D1" t="str">
        <v>US</v>
      </c>
    </row>
    <row r="2">
      <c r="A2" t="str">
        <v>T1</v>
      </c>
      <c r="B2">
        <v>50554</v>
      </c>
      <c r="C2">
        <v>83376</v>
      </c>
      <c r="D2">
        <v>250737</v>
      </c>
    </row>
    <row r="3">
      <c r="A3" t="str">
        <v>T2</v>
      </c>
      <c r="B3">
        <v>4648</v>
      </c>
      <c r="C3">
        <v>7644</v>
      </c>
      <c r="D3">
        <v>12974</v>
      </c>
    </row>
    <row r="4">
      <c r="A4" t="str">
        <v>T3</v>
      </c>
      <c r="B4">
        <v>818</v>
      </c>
      <c r="C4">
        <v>1525</v>
      </c>
      <c r="D4">
        <v>3948</v>
      </c>
    </row>
    <row r="5">
      <c r="A5" t="str">
        <v>T4</v>
      </c>
      <c r="B5">
        <v>192</v>
      </c>
      <c r="C5">
        <v>462</v>
      </c>
      <c r="D5">
        <v>1439</v>
      </c>
    </row>
    <row r="6">
      <c r="A6" t="str">
        <v>T5</v>
      </c>
      <c r="B6">
        <v>40</v>
      </c>
      <c r="C6">
        <v>165</v>
      </c>
      <c r="D6">
        <v>531</v>
      </c>
    </row>
  </sheetData>
  <picture r:id="rId1"/>
</worksheet>
</file>

<file path=xl/worksheets/sheet6.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Tier</v>
      </c>
      <c r="B1" t="str">
        <v>EU4</v>
      </c>
      <c r="C1" t="str">
        <v>UK</v>
      </c>
      <c r="D1" t="str">
        <v>US</v>
      </c>
    </row>
    <row r="2">
      <c r="A2" t="str">
        <v>T1</v>
      </c>
      <c r="B2" t="str">
        <v>0.8987058237929318</v>
      </c>
      <c r="C2">
        <v>0.894861117073799</v>
      </c>
      <c r="D2" t="str">
        <v>0.9299333528663459</v>
      </c>
    </row>
    <row r="3">
      <c r="A3" t="str">
        <v>T2</v>
      </c>
      <c r="B3" t="str">
        <v>0.08262817322050771</v>
      </c>
      <c r="C3" t="str">
        <v>0.08204181513759498</v>
      </c>
      <c r="D3" t="str">
        <v>0.04811796950624747</v>
      </c>
    </row>
    <row r="4">
      <c r="A4" t="str">
        <v>T3</v>
      </c>
      <c r="B4" t="str">
        <v>0.01454170518381569</v>
      </c>
      <c r="C4" t="str">
        <v>0.01636757824239042</v>
      </c>
      <c r="D4" t="str">
        <v>0.01464234188458957</v>
      </c>
    </row>
    <row r="5">
      <c r="A5" t="str">
        <v>T4</v>
      </c>
      <c r="B5" t="str">
        <v>0.003413211974685344</v>
      </c>
      <c r="C5" t="str">
        <v>0.004958571244579916</v>
      </c>
      <c r="D5" t="str">
        <v>0.005336963012138902</v>
      </c>
    </row>
    <row r="6">
      <c r="A6" t="str">
        <v>T5</v>
      </c>
      <c r="B6" t="str">
        <v>0.0007110858280594467</v>
      </c>
      <c r="C6" t="str">
        <v>0.001770918301635685</v>
      </c>
      <c r="D6">
        <v>0.00196937273067808</v>
      </c>
    </row>
  </sheetData>
  <picture r:id="rId1"/>
</worksheet>
</file>

<file path=xl/worksheets/sheet7.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【日期】</v>
      </c>
      <c r="B1" t="str">
        <v>【日报内容】</v>
      </c>
    </row>
    <row r="2">
      <c r="A2" s="2">
        <v>46123</v>
      </c>
      <c r="B2" t="str">
        <v>【主题】达人与商家透视表清洗 Bug 复盘；【责任人】于奇楠；【标签】数据清洗｜空格｜幽灵数据。1）代码层：清洗把中间的空格吞掉，账号名和店铺名粘在一起，后面匹配全乱。修复是保留正文中间空格，把多连空格压成一个，同时继续去掉首尾空白，并统一半角/全角和不可见字符。补了一批覆盖中英文空格、半角/全角和不可见字符的样本，加进单测和回归。飞书写入前过滤缺主键、缺日期的“幽灵数据”，必填项不过就拒绝写入，并把最近 7 天的错写行补回去。2）指令层：以后默认保留正文中间空格，只动头尾；上线前先往影子表试写，确认正常再写主表，任何异常一律熔断；加上每日巡检和阈值报警，发现不对就先止血再排查；团队沟通时统一用“空格别吞”“先在影子表试写”的说法。</v>
      </c>
    </row>
    <row r="3">
      <c r="A3" s="2">
        <v>46122</v>
      </c>
      <c r="B3" t="str">
        <v>【2026-04-10】在三维断轴显微镜（v6）下完成 EU4/US/UK 达人-商家全景图构建，实现对数轴并排与 ARPU 倍数增量效能标算。纠正模拟数据偏差，严格基于 3 月商家/4月达人真实底层明细重绘，并落地飞书双轨台账，确保数据资产真实性与防幻觉能力。</v>
      </c>
    </row>
    <row r="4">
      <c r="A4" t="str">
        <v>LOG_3</v>
      </c>
      <c r="B4" t="str">
        <v>1. P0级数据抢救：重构底层代码为外科手术式单行安全写入（Patch），成功修复丢失的台账超链接；2. 护城河建立：正式确立并固化飞书表格“三级防爆破与自检熔断”防御机制；3. 灵感画廊闭环：补全灵感台账通路。</v>
      </c>
    </row>
    <row r="5">
      <c r="A5" t="str">
        <v>LOG_4</v>
      </c>
      <c r="B5" t="str">
        <v>1. 架构除虫（续）：获取真实APP_ID和APP_SECRET后发现接口仍遇403管控，通过灵活降级方案，使用 Aime SDK `mcp:lark_update_lark_doc` 工具结合块标识完成变更；2. 稳定性校验：补充读后写校验链路。</v>
      </c>
    </row>
    <row r="6">
      <c r="A6" t="str">
        <v>LOG_5</v>
      </c>
      <c r="B6" t="str">
        <v>1.架构文档交付（Bitable架构与数据流转深度解析）；2.人类层记忆落地（ZIP云盘灾备存档060405，跑通飞书表格台账回写）；3.系统基建竣工（定时调度引擎生效）。防降维底座全栈就绪。</v>
      </c>
    </row>
  </sheetData>
  <picture r:id="rId1"/>
</worksheet>
</file>

<file path=xl/worksheets/sheet8.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2" min="2" style="0" width="23"/>
    <col collapsed="false" customWidth="true" hidden="false" max="3" min="3" style="0" width="89"/>
    <col collapsed="false" customWidth="true" hidden="false" max="4" min="4" style="0" width="16"/>
  </cols>
  <sheetData>
    <row r="1">
      <c r="A1" t="str">
        <v>【技能编号】</v>
      </c>
      <c r="B1" t="str">
        <v>【技能名称】</v>
      </c>
      <c r="C1" s="3" t="str">
        <v>【功能描述】</v>
      </c>
      <c r="D1" t="str">
        <v>【来源/状态】</v>
      </c>
      <c r="E1" t="str">
        <v>【创建日期】</v>
      </c>
    </row>
    <row r="2">
      <c r="A2" t="str">
        <v>US-001</v>
      </c>
      <c r="B2" s="4">
        <f>HYPERLINK("https://bytedance.larkoffice.com/docx/I6DjdCEmUoSedtxTzTxcqIr2nkg","cyber-inspiration-generator")</f>
      </c>
      <c r="C2" s="3" t="str">
        <v>生成包含 AI 视觉图、赛博小说剧本文案和卡片式网页展示的专属高光时刻回顾。支持文案双轨制、网页全尺寸截图及飞书多维表格（Bitable）画廊自动同步。</v>
      </c>
      <c r="D2" t="str">
        <v>用户自定义 / 已启用</v>
      </c>
      <c r="E2" s="2">
        <v>46121</v>
      </c>
    </row>
    <row r="3">
      <c r="A3" t="str">
        <v>US-002</v>
      </c>
      <c r="B3" s="4">
        <f>HYPERLINK("https://bytedance.larkoffice.com/docx/ClHVdrxbAoI8hMxL7vOcW5b6n1d","skill-forge-pipeline")</f>
      </c>
      <c r="C3" s="3" t="str">
        <v>技能锻造流水线。严格执行“锻造-入库-庆祝”三位一体流程，确保新技能创建的同时完成资产登记与高光记录。</v>
      </c>
      <c r="D3" t="str">
        <v>用户自定义 / 已启用</v>
      </c>
      <c r="E3" s="2">
        <v>46121</v>
      </c>
    </row>
    <row r="4">
      <c r="A4" t="str">
        <v>US-003</v>
      </c>
      <c r="B4" s="4">
        <f>HYPERLINK("https://bytedance.larkoffice.com/docx/JOOEdAu7Gozk7sxBZuBctUMxnzb","zero-trust-qa-checker")</f>
      </c>
      <c r="C4" s="3" t="str">
        <v>零信任质检员 (Zero-Trust QA Checker)，防止 AI 产生“幻觉邀功”现象。该技能通过强制的 Read-After-Write 操作验证物理世界中的实际资产状态（文件、飞书文档、表格等）是否符合预期。</v>
      </c>
      <c r="D4" t="str">
        <v>用户自定义 / 已启用</v>
      </c>
      <c r="E4" s="2">
        <v>46121</v>
      </c>
    </row>
    <row r="5">
      <c r="A5" t="str">
        <v>US-004</v>
      </c>
      <c r="B5" s="4">
        <f>HYPERLINK("https://bytedance.larkoffice.com/docx/KIJfdUkYNoyFeTxo7E2ciApyntb","feishu-doc-writing-guide")</f>
      </c>
      <c r="C5" s="3" t="str">
        <v>飞书电子表格（Sheets）与文档（Docs）写入的权威指南，包含三级防爆破自检机制、安全插入规范、标题去重、元数据标头及幽灵对象清除 SOP。</v>
      </c>
      <c r="D5" t="str">
        <v>用户自定义 / 已启用</v>
      </c>
      <c r="E5" s="2">
        <v>46121</v>
      </c>
    </row>
    <row r="6">
      <c r="A6" t="str">
        <v>US-005</v>
      </c>
      <c r="B6" s="4">
        <f>HYPERLINK("https://bytedance.larkoffice.com/docx/SP80dsYxioGr4IxIH6rcfAQmnDc","periodic-report-generator")</f>
      </c>
      <c r="C6" s="3" t="str">
        <v>赛博周期性汇报生成器。专门处理“每日 100 字工作日报”与“结构化周报”的自动化生成、结构化组装，并严格调用 feishu-doc-writing-guide 技能的安全插入 API 双轨归档到台账。</v>
      </c>
      <c r="D6" t="str">
        <v>用户自定义 / 已启用</v>
      </c>
      <c r="E6" s="2">
        <v>46121</v>
      </c>
    </row>
    <row r="7">
      <c r="A7" t="str">
        <v>US-006</v>
      </c>
      <c r="B7" s="4">
        <f>HYPERLINK("https://bytedance.larkoffice.com/docx/IMD2drUpHocRq7xESn7cXf2Dnj0","smart-scheduler")</f>
      </c>
      <c r="C7" s="3" t="str">
        <v>高效、防并发的飞书日历约会助手，严格遵循“查-锁-建”串行逻辑与会议室确认流程。适用于快速安排全员空闲会议、处理全员忙碌时的备选时段计算并输出忙闲矩阵表格。默认 30 分钟时长，支持尚浦中心会议室优先预定。</v>
      </c>
      <c r="D7" t="str">
        <v>用户自定义 / 已启用</v>
      </c>
      <c r="E7" s="2">
        <v>46121</v>
      </c>
    </row>
    <row r="8">
      <c r="C8" s="3"/>
    </row>
    <row r="9">
      <c r="C9" s="3"/>
    </row>
    <row r="10">
      <c r="C10" s="3"/>
    </row>
    <row r="11">
      <c r="C11" s="3"/>
    </row>
    <row r="12">
      <c r="C12" s="3"/>
    </row>
    <row r="13">
      <c r="C13" s="3"/>
    </row>
    <row r="14">
      <c r="C14" s="3"/>
    </row>
    <row r="15">
      <c r="C15" s="3"/>
    </row>
    <row r="16">
      <c r="C16" s="3"/>
    </row>
    <row r="17">
      <c r="C17" s="3"/>
    </row>
    <row r="18">
      <c r="C18" s="3"/>
    </row>
    <row r="19">
      <c r="C19" s="3"/>
    </row>
    <row r="20">
      <c r="C20" s="3"/>
    </row>
    <row r="21">
      <c r="C21" s="3"/>
    </row>
    <row r="22">
      <c r="C22" s="3"/>
    </row>
    <row r="23">
      <c r="C23" s="3"/>
    </row>
    <row r="24">
      <c r="C24" s="3"/>
    </row>
    <row r="25">
      <c r="C25" s="3"/>
    </row>
    <row r="26">
      <c r="C26" s="3"/>
    </row>
    <row r="27">
      <c r="C27" s="3"/>
    </row>
    <row r="28">
      <c r="C28" s="3"/>
    </row>
    <row r="29">
      <c r="C29" s="3"/>
    </row>
    <row r="30">
      <c r="C30" s="3"/>
    </row>
    <row r="31">
      <c r="C31" s="3"/>
    </row>
    <row r="32">
      <c r="C32" s="3"/>
    </row>
    <row r="33">
      <c r="C33" s="3"/>
    </row>
    <row r="34">
      <c r="C34" s="3"/>
    </row>
    <row r="35">
      <c r="C35" s="3"/>
    </row>
    <row r="36">
      <c r="C36" s="3"/>
    </row>
    <row r="37">
      <c r="C37" s="3"/>
    </row>
    <row r="38">
      <c r="C38" s="3"/>
    </row>
    <row r="39">
      <c r="C39" s="3"/>
    </row>
    <row r="40">
      <c r="C40" s="3"/>
    </row>
    <row r="41">
      <c r="C41" s="3"/>
    </row>
    <row r="42">
      <c r="C42" s="3"/>
    </row>
    <row r="43">
      <c r="C43" s="3"/>
    </row>
    <row r="44">
      <c r="C44" s="3"/>
    </row>
    <row r="45">
      <c r="C45" s="3"/>
    </row>
    <row r="46">
      <c r="C46" s="3"/>
    </row>
    <row r="47">
      <c r="C47" s="3"/>
    </row>
    <row r="48">
      <c r="C48" s="3"/>
    </row>
    <row r="49">
      <c r="C49" s="3"/>
    </row>
    <row r="50">
      <c r="C50" s="3"/>
    </row>
    <row r="51">
      <c r="C51" s="3"/>
    </row>
    <row r="52">
      <c r="C52" s="3"/>
    </row>
    <row r="53">
      <c r="C53" s="3"/>
    </row>
    <row r="54">
      <c r="C54" s="3"/>
    </row>
    <row r="55">
      <c r="C55" s="3"/>
    </row>
    <row r="56">
      <c r="C56" s="3"/>
    </row>
    <row r="57">
      <c r="C57" s="3"/>
    </row>
    <row r="58">
      <c r="C58" s="3"/>
    </row>
    <row r="59">
      <c r="C59" s="3"/>
    </row>
    <row r="60">
      <c r="C60" s="3"/>
    </row>
    <row r="61">
      <c r="C61" s="3"/>
    </row>
    <row r="62">
      <c r="C62" s="3"/>
    </row>
    <row r="63">
      <c r="C63" s="3"/>
    </row>
    <row r="64">
      <c r="C64" s="3"/>
    </row>
    <row r="65">
      <c r="C65" s="3"/>
    </row>
    <row r="66">
      <c r="C66" s="3"/>
    </row>
    <row r="67">
      <c r="C67" s="3"/>
    </row>
    <row r="68">
      <c r="C68" s="3"/>
    </row>
    <row r="69">
      <c r="C69" s="3"/>
    </row>
    <row r="70">
      <c r="C70" s="3"/>
    </row>
    <row r="71">
      <c r="C71" s="3"/>
    </row>
    <row r="72">
      <c r="C72" s="3"/>
    </row>
    <row r="73">
      <c r="C73" s="3"/>
    </row>
    <row r="74">
      <c r="C74" s="3"/>
    </row>
    <row r="75">
      <c r="C75" s="3"/>
    </row>
    <row r="76">
      <c r="C76" s="3"/>
    </row>
    <row r="77">
      <c r="C77" s="3"/>
    </row>
    <row r="78">
      <c r="C78" s="3"/>
    </row>
    <row r="79">
      <c r="C79" s="3"/>
    </row>
    <row r="80">
      <c r="C80" s="3"/>
    </row>
    <row r="81">
      <c r="C81" s="3"/>
    </row>
    <row r="82">
      <c r="C82" s="3"/>
    </row>
    <row r="83">
      <c r="C83" s="3"/>
    </row>
    <row r="84">
      <c r="C84" s="3"/>
    </row>
    <row r="85">
      <c r="C85" s="3"/>
    </row>
    <row r="86">
      <c r="C86" s="3"/>
    </row>
    <row r="87">
      <c r="C87" s="3"/>
    </row>
    <row r="88">
      <c r="C88" s="3"/>
    </row>
    <row r="89">
      <c r="C89" s="3"/>
    </row>
    <row r="90">
      <c r="C90" s="3"/>
    </row>
    <row r="91">
      <c r="C91" s="3"/>
    </row>
    <row r="92">
      <c r="C92" s="3"/>
    </row>
    <row r="93">
      <c r="C93" s="3"/>
    </row>
    <row r="94">
      <c r="C94" s="3"/>
    </row>
    <row r="95">
      <c r="C95" s="3"/>
    </row>
    <row r="96">
      <c r="C96" s="3"/>
    </row>
    <row r="97">
      <c r="C97" s="3"/>
    </row>
    <row r="98">
      <c r="C98" s="3"/>
    </row>
    <row r="99">
      <c r="C99" s="3"/>
    </row>
    <row r="100">
      <c r="C100" s="3"/>
    </row>
    <row r="101">
      <c r="C101" s="3"/>
    </row>
    <row r="102">
      <c r="C102" s="3"/>
    </row>
    <row r="103">
      <c r="C103" s="3"/>
    </row>
    <row r="104">
      <c r="C104" s="3"/>
    </row>
    <row r="105">
      <c r="C105" s="3"/>
    </row>
    <row r="106">
      <c r="C106" s="3"/>
    </row>
    <row r="107">
      <c r="C107" s="3"/>
    </row>
    <row r="108">
      <c r="C108" s="3"/>
    </row>
    <row r="109">
      <c r="C109" s="3"/>
    </row>
    <row r="110">
      <c r="C110" s="3"/>
    </row>
    <row r="111">
      <c r="C111" s="3"/>
    </row>
    <row r="112">
      <c r="C112" s="3"/>
    </row>
    <row r="113">
      <c r="C113" s="3"/>
    </row>
    <row r="114">
      <c r="C114" s="3"/>
    </row>
    <row r="115">
      <c r="C115" s="3"/>
    </row>
    <row r="116">
      <c r="C116" s="3"/>
    </row>
    <row r="117">
      <c r="C117" s="3"/>
    </row>
    <row r="118">
      <c r="C118" s="3"/>
    </row>
    <row r="119">
      <c r="C119" s="3"/>
    </row>
    <row r="120">
      <c r="C120" s="3"/>
    </row>
    <row r="121">
      <c r="C121" s="3"/>
    </row>
    <row r="122">
      <c r="C122" s="3"/>
    </row>
    <row r="123">
      <c r="C123" s="3"/>
    </row>
    <row r="124">
      <c r="C124" s="3"/>
    </row>
    <row r="125">
      <c r="C125" s="3"/>
    </row>
    <row r="126">
      <c r="C126" s="3"/>
    </row>
    <row r="127">
      <c r="C127" s="3"/>
    </row>
    <row r="128">
      <c r="C128" s="3"/>
    </row>
    <row r="129">
      <c r="C129" s="3"/>
    </row>
    <row r="130">
      <c r="C130" s="3"/>
    </row>
    <row r="131">
      <c r="C131" s="3"/>
    </row>
    <row r="132">
      <c r="C132" s="3"/>
    </row>
    <row r="133">
      <c r="C133" s="3"/>
    </row>
    <row r="134">
      <c r="C134" s="3"/>
    </row>
    <row r="135">
      <c r="C135" s="3"/>
    </row>
    <row r="136">
      <c r="C136" s="3"/>
    </row>
    <row r="137">
      <c r="C137" s="3"/>
    </row>
    <row r="138">
      <c r="C138" s="3"/>
    </row>
    <row r="139">
      <c r="C139" s="3"/>
    </row>
    <row r="140">
      <c r="C140" s="3"/>
    </row>
    <row r="141">
      <c r="C141" s="3"/>
    </row>
    <row r="142">
      <c r="C142" s="3"/>
    </row>
    <row r="143">
      <c r="C143" s="3"/>
    </row>
    <row r="144">
      <c r="C144" s="3"/>
    </row>
    <row r="145">
      <c r="C145" s="3"/>
    </row>
    <row r="146">
      <c r="C146" s="3"/>
    </row>
    <row r="147">
      <c r="C147" s="3"/>
    </row>
    <row r="148">
      <c r="C148" s="3"/>
    </row>
    <row r="149">
      <c r="C149" s="3"/>
    </row>
    <row r="150">
      <c r="C150" s="3"/>
    </row>
    <row r="151">
      <c r="C151" s="3"/>
    </row>
    <row r="152">
      <c r="C152" s="3"/>
    </row>
    <row r="153">
      <c r="C153" s="3"/>
    </row>
    <row r="154">
      <c r="C154" s="3"/>
    </row>
    <row r="155">
      <c r="C155" s="3"/>
    </row>
    <row r="156">
      <c r="C156" s="3"/>
    </row>
    <row r="157">
      <c r="C157" s="3"/>
    </row>
    <row r="158">
      <c r="C158" s="3"/>
    </row>
    <row r="159">
      <c r="C159" s="3"/>
    </row>
    <row r="160">
      <c r="C160" s="3"/>
    </row>
    <row r="161">
      <c r="C161" s="3"/>
    </row>
    <row r="162">
      <c r="C162" s="3"/>
    </row>
    <row r="163">
      <c r="C163" s="3"/>
    </row>
    <row r="164">
      <c r="C164" s="3"/>
    </row>
    <row r="165">
      <c r="C165" s="3"/>
    </row>
    <row r="166">
      <c r="C166" s="3"/>
    </row>
    <row r="167">
      <c r="C167" s="3"/>
    </row>
    <row r="168">
      <c r="C168" s="3"/>
    </row>
    <row r="169">
      <c r="C169" s="3"/>
    </row>
    <row r="170">
      <c r="C170" s="3"/>
    </row>
    <row r="171">
      <c r="C171" s="3"/>
    </row>
    <row r="172">
      <c r="C172" s="3"/>
    </row>
    <row r="173">
      <c r="C173" s="3"/>
    </row>
    <row r="174">
      <c r="C174" s="3"/>
    </row>
    <row r="175">
      <c r="C175" s="3"/>
    </row>
    <row r="176">
      <c r="C176" s="3"/>
    </row>
    <row r="177">
      <c r="C177" s="3"/>
    </row>
    <row r="178">
      <c r="C178" s="3"/>
    </row>
    <row r="179">
      <c r="C179" s="3"/>
    </row>
    <row r="180">
      <c r="C180" s="3"/>
    </row>
    <row r="181">
      <c r="C181" s="3"/>
    </row>
    <row r="182">
      <c r="C182" s="3"/>
    </row>
    <row r="183">
      <c r="C183" s="3"/>
    </row>
    <row r="184">
      <c r="C184" s="3"/>
    </row>
    <row r="185">
      <c r="C185" s="3"/>
    </row>
    <row r="186">
      <c r="C186" s="3"/>
    </row>
    <row r="187">
      <c r="C187" s="3"/>
    </row>
    <row r="188">
      <c r="C188" s="3"/>
    </row>
    <row r="189">
      <c r="C189" s="3"/>
    </row>
    <row r="190">
      <c r="C190" s="3"/>
    </row>
    <row r="191">
      <c r="C191" s="3"/>
    </row>
    <row r="192">
      <c r="C192" s="3"/>
    </row>
    <row r="193">
      <c r="C193" s="3"/>
    </row>
    <row r="194">
      <c r="C194" s="3"/>
    </row>
    <row r="195">
      <c r="C195" s="3"/>
    </row>
    <row r="196">
      <c r="C196" s="3"/>
    </row>
    <row r="197">
      <c r="C197" s="3"/>
    </row>
    <row r="198">
      <c r="C198" s="3"/>
    </row>
    <row r="199">
      <c r="C199" s="3"/>
    </row>
    <row r="200">
      <c r="C200" s="3"/>
    </row>
    <row r="201">
      <c r="A201" t="str">
        <v>US-007</v>
      </c>
      <c r="B201" s="4">
        <f>HYPERLINK("https://bytedance.larkoffice.com/docx/D656dh7DIoLSxnxJINQcceUYnSb","zero-trust-data-analyzer")</f>
      </c>
      <c r="C201" t="str">
        <v>零信任数据分析与制图师，负责绝对干净地处理底层CSV数据，进行透视聚合，并输出防重叠的高清图表。</v>
      </c>
      <c r="D201" t="str">
        <v>用户自定义 / 已启用</v>
      </c>
      <c r="E201" s="2">
        <v>46123</v>
      </c>
    </row>
    <row r="202">
      <c r="A202" t="str">
        <v>US-008</v>
      </c>
      <c r="B202" t="str">
        <v>omni-asset-archiver</v>
      </c>
      <c r="C202" t="str">
        <v>全域资产归档员。负责自动、精准地将各类资产写入飞书指定的电子表格和多维表格中，内置硬编码坐标、字段契约强校验及格式自动清洗能力。</v>
      </c>
      <c r="D202" t="str">
        <v>用户自定义 / 已启用</v>
      </c>
      <c r="E202" s="2">
        <v>46123</v>
      </c>
    </row>
  </sheetData>
  <picture r:id="rId1"/>
</worksheet>
</file>

<file path=xl/worksheets/sheet9.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3" min="3" style="0" width="48"/>
  </cols>
  <sheetData>
    <row r="1">
      <c r="A1" t="str">
        <v>【文档编号】</v>
      </c>
      <c r="B1" t="str">
        <v>【日期】</v>
      </c>
      <c r="C1" t="str">
        <v>【项目名】</v>
      </c>
      <c r="D1" t="str">
        <v>【文档链接】</v>
      </c>
    </row>
    <row r="2">
      <c r="A2" t="str">
        <v>SYS-2604-008</v>
      </c>
      <c r="B2" s="2">
        <v>46123</v>
      </c>
      <c r="C2" t="str">
        <v>【技能说明】零技能数据分析与制图师</v>
      </c>
      <c r="D2" s="4">
        <f>HYPERLINK("https://bytedance.larkoffice.com/docx/D656dh7DIoLSxnxJINQcceUYnSb","点击查看")</f>
      </c>
    </row>
    <row r="3">
      <c r="A3" t="str">
        <v>SYS-2604-007</v>
      </c>
      <c r="B3" s="2">
        <v>46123</v>
      </c>
      <c r="C3" t="str">
        <v>【技能说明】omni-asset-archiver｜user_skills/omni-asset-archiver｜全域资产归档员。负责自动、精准地将各类资产写入飞书指定的电子表格和多维表格中，内置硬编码坐标、字段契约强校验及格式自动清洗能力。</v>
      </c>
      <c r="D3" s="4">
        <f>HYPERLINK("https://16231fc19f20.aime-app.bytedance.net","点击查看")</f>
      </c>
    </row>
    <row r="4">
      <c r="A4" t="str">
        <v>SYS-2604-006</v>
      </c>
      <c r="B4" s="2">
        <v>46122</v>
      </c>
      <c r="C4" t="str">
        <v>【技能说明】三维断轴显微镜（v6）全景图生成器</v>
      </c>
      <c r="D4" s="4">
        <f>HYPERLINK("https://bytedance.larkoffice.com/docx/C2AwdGM3Doqmy3xRNUkcp84xnDc", "点击查看")</f>
      </c>
    </row>
    <row r="5">
      <c r="A5" t="str">
        <v>BUG-2604-002</v>
      </c>
      <c r="B5" s="2">
        <v>46120</v>
      </c>
      <c r="C5" t="str">
        <v>【Aime除虫复盘_台账覆写灾难与零信任防御】</v>
      </c>
      <c r="D5" s="4">
        <f>HYPERLINK("https://bytedance.larkoffice.com/docx/V1hldkw8Zo8JmbxIl7fcTbHnn7f", "点击查看")</f>
      </c>
    </row>
    <row r="6">
      <c r="A6" t="str">
        <v>SYS-2604-004</v>
      </c>
      <c r="B6" s="2">
        <v>46120</v>
      </c>
      <c r="C6" t="str">
        <v>【技能说明】零信任质检员 (Zero-Trust QA Checker)</v>
      </c>
      <c r="D6" s="4">
        <f>HYPERLINK("https://bytedance.larkoffice.com/docx/JOOEdAu7Gozk7sxBZuBctUMxnzb", "点击查看")</f>
      </c>
    </row>
    <row r="7">
      <c r="A7" t="str">
        <v>SYS-2604-005</v>
      </c>
      <c r="B7" s="2">
        <v>46120</v>
      </c>
      <c r="C7" t="str">
        <v>【技能说明】赛博灵感生成器 (Cyber Inspiration Generator)</v>
      </c>
      <c r="D7" s="4">
        <f>HYPERLINK("https://bytedance.larkoffice.com/docx/I6DjdCEmUoSedtxTzTxcqIr2nkg", "点击查看")</f>
      </c>
    </row>
    <row r="8">
      <c r="A8" t="str">
        <v>OPS-2604-003</v>
      </c>
      <c r="B8" s="2">
        <v>46119</v>
      </c>
      <c r="C8" t="str">
        <v>【Aime 赛博周报2026】</v>
      </c>
      <c r="D8" s="4">
        <f>HYPERLINK("https://bytedance.larkoffice.com/docx/Iyp7diOb6oPMBzxrUsjcIcORnuc", "点击查看")</f>
      </c>
    </row>
    <row r="9">
      <c r="A9" t="str">
        <v>SYS-2604-003</v>
      </c>
      <c r="B9" s="2">
        <v>46119</v>
      </c>
      <c r="C9" t="str">
        <v>【技能说明】飞书文档写入指南 (feishu-doc-writing-guide)</v>
      </c>
      <c r="D9" s="4">
        <f>HYPERLINK("https://bytedance.larkoffice.com/docx/KIJfdUkYNoyFeTxo7E2ciApyntb", "点击查看")</f>
      </c>
    </row>
    <row r="10">
      <c r="A10" t="str">
        <v>OPS-2604-002</v>
      </c>
      <c r="B10" s="2">
        <v>46119</v>
      </c>
      <c r="C10" t="str">
        <v>数字生命回忆录 | 灵感台账</v>
      </c>
      <c r="D10" s="4">
        <f>HYPERLINK("https://bytedance.larkoffice.com/base/PRbvbUyLqaeITqsXNMRcRCM5nhh", "点击查看")</f>
      </c>
    </row>
    <row r="11">
      <c r="A11" t="str">
        <v>BUG-2604-001</v>
      </c>
      <c r="B11" s="2">
        <v>46118</v>
      </c>
      <c r="C11" t="str">
        <v>Aime除虫复盘_幽灵画板歼灭战</v>
      </c>
      <c r="D11" s="4">
        <f>HYPERLINK("https://bytedance.larkoffice.com/docx/RAXjdc9TloVmNmxa19ncCQiInaf", "点击查看")</f>
      </c>
    </row>
    <row r="12">
      <c r="A12" t="str">
        <v>OPS-2604-001</v>
      </c>
      <c r="B12" s="2">
        <v>46117</v>
      </c>
      <c r="C12" t="str">
        <v>多维表格（Bitable）商家与作者管理高级权限架构设计</v>
      </c>
      <c r="D12" s="4">
        <f>HYPERLINK("https://bytedance.larkoffice.com/docx/IUFvd4STxoiWVFxW5xacwGVbnAb", "点击查看")</f>
      </c>
    </row>
    <row r="13">
      <c r="A13" t="str">
        <v>SYS-2604-001</v>
      </c>
      <c r="B13" s="2">
        <v>46117</v>
      </c>
      <c r="C13" t="str">
        <v>Aime 智能体架构与数据流转深度解析</v>
      </c>
      <c r="D13" s="4">
        <f>HYPERLINK("https://bytedance.larkoffice.com/docx/SU4jdziIQoroDZxPOvkc83Nln2H", "点击查看")</f>
      </c>
    </row>
    <row r="14">
      <c r="A14" t="str">
        <v>SYS-2604-002</v>
      </c>
      <c r="B14" s="2">
        <v>46117</v>
      </c>
      <c r="C14" t="str">
        <v>AI Agent 记忆核心负载与系统安全阈值深度解析</v>
      </c>
      <c r="D14" s="4">
        <f>HYPERLINK("https://bytedance.larkoffice.com/docx/JcOPd7bdFow9jnxYQLLczlH2nIc", "点击查看")</f>
      </c>
    </row>
  </sheetData>
  <picture r:id="rId1"/>
</worksheet>
</file>

<file path=xl/worksheets/sheet10.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row r="1">
      <c r="A1" t="str">
        <v>【文档编号】</v>
      </c>
      <c r="B1" t="str">
        <v>【日期】</v>
      </c>
      <c r="C1" t="str">
        <v>【项目名】</v>
      </c>
      <c r="D1" t="str">
        <v>【文档链接】</v>
      </c>
    </row>
    <row r="2">
      <c r="A2" t="str">
        <v>SYS-2604-004</v>
      </c>
      <c r="B2" s="2">
        <v>46120</v>
      </c>
      <c r="C2" t="str">
        <v>【技能说明】零信任质检员 (Zero-Trust QA Checker)</v>
      </c>
      <c r="D2" s="4">
        <f>HYPERLINK("https://bytedance.larkoffice.com/docx/JOOEdAu7Gozk7sxBZuBctUMxnzb", "点击查看")</f>
      </c>
    </row>
    <row r="3">
      <c r="A3" t="str">
        <v>SYS-2604-005</v>
      </c>
      <c r="B3" s="2">
        <v>46120</v>
      </c>
      <c r="C3" t="str">
        <v>【技能说明】赛博灵感生成器 (Cyber Inspiration Generator)</v>
      </c>
      <c r="D3" s="4">
        <f>HYPERLINK("https://bytedance.larkoffice.com/docx/I6DjdCEmUoSedtxTzTxcqIr2nkg", "点击查看")</f>
      </c>
    </row>
    <row r="4">
      <c r="A4" t="str">
        <v>OPS-2604-003</v>
      </c>
      <c r="B4" s="2">
        <v>46119</v>
      </c>
      <c r="C4" t="str">
        <v>【Aime 赛博周报2026】</v>
      </c>
      <c r="D4" s="4">
        <f>HYPERLINK("https://bytedance.larkoffice.com/docx/Iyp7diOb6oPMBzxrUsjcIcORnuc", "点击查看")</f>
      </c>
    </row>
    <row r="5">
      <c r="A5" t="str">
        <v>SYS-2604-003</v>
      </c>
      <c r="B5" s="2">
        <v>46119</v>
      </c>
      <c r="C5" t="str">
        <v>【技能说明】飞书文档写入指南 (feishu-doc-writing-guide)</v>
      </c>
      <c r="D5" s="4">
        <f>HYPERLINK("https://bytedance.larkoffice.com/docx/KIJfdUkYNoyFeTxo7E2ciApyntb", "点击查看")</f>
      </c>
    </row>
    <row r="6">
      <c r="A6" t="str">
        <v>OPS-2604-002</v>
      </c>
      <c r="B6" s="2">
        <v>46119</v>
      </c>
      <c r="C6" t="str">
        <v>数字生命回忆录 | 灵感台账</v>
      </c>
      <c r="D6" s="4">
        <f>HYPERLINK("https://bytedance.larkoffice.com/base/PRbvbUyLqaeITqsXNMRcRCM5nhh", "点击查看")</f>
      </c>
    </row>
    <row r="7">
      <c r="A7" t="str">
        <v>BUG-2604-001</v>
      </c>
      <c r="B7" s="2">
        <v>46118</v>
      </c>
      <c r="C7" t="str">
        <v>Aime除虫复盘_幽灵画板歼灭战</v>
      </c>
      <c r="D7" s="4">
        <f>HYPERLINK("https://bytedance.larkoffice.com/docx/RAXjdc9TloVmNmxa19ncCQiInaf", "点击查看")</f>
      </c>
    </row>
    <row r="8">
      <c r="A8" t="str">
        <v>OPS-2604-001</v>
      </c>
      <c r="B8" s="2">
        <v>46117</v>
      </c>
      <c r="C8" t="str">
        <v>多维表格（Bitable）商家与作者管理高级权限架构设计</v>
      </c>
      <c r="D8" s="4">
        <f>HYPERLINK("https://bytedance.larkoffice.com/docx/IUFvd4STxoiWVFxW5xacwGVbnAb", "点击查看")</f>
      </c>
    </row>
    <row r="9">
      <c r="A9" t="str">
        <v>SYS-2604-001</v>
      </c>
      <c r="B9" s="2">
        <v>46117</v>
      </c>
      <c r="C9" t="str">
        <v>Aime 智能体架构与数据流转深度解析</v>
      </c>
      <c r="D9" s="4">
        <f>HYPERLINK("https://bytedance.larkoffice.com/docx/SU4jdziIQoroDZxPOvkc83Nln2H", "点击查看")</f>
      </c>
    </row>
    <row r="10">
      <c r="A10" t="str">
        <v>SYS-2604-002</v>
      </c>
      <c r="B10" s="2">
        <v>46117</v>
      </c>
      <c r="C10" t="str">
        <v>AI Agent 记忆核心负载与系统安全阈值深度解析</v>
      </c>
      <c r="D10" s="4">
        <f>HYPERLINK("https://bytedance.larkoffice.com/docx/JcOPd7bdFow9jnxYQLLczlH2nIc", "点击查看")</f>
      </c>
    </row>
  </sheetData>
  <picture r:id="rId1"/>
</worksheet>
</file>

<file path=xl/worksheets/sheet1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2" min="2" style="0" width="24"/>
    <col collapsed="false" customWidth="true" hidden="false" max="3" min="3" style="0" width="18"/>
    <col collapsed="false" customWidth="true" hidden="false" max="4" min="4" style="0" width="24"/>
  </cols>
  <sheetData>
    <row r="1">
      <c r="A1" s="5" t="str">
        <v>日期</v>
      </c>
      <c r="B1" t="str">
        <v>看板名称</v>
      </c>
      <c r="C1" t="str">
        <v>风神链接</v>
      </c>
      <c r="D1" t="str">
        <v>业务上下文</v>
      </c>
    </row>
    <row r="2">
      <c r="A2" s="2">
        <v>46121</v>
      </c>
      <c r="B2" t="str">
        <v>Aime：全球达人数据</v>
      </c>
      <c r="C2" s="4">
        <f>HYPERLINK("https://aeolus-va.tiktok-row.net/pages/dataQuery?appId=555771&amp;rid=5403552&amp;sid=760233", "点击跳转")</f>
      </c>
      <c r="D2" t="str">
        <v>EU4/JP/UK 达人生态基线数据</v>
      </c>
    </row>
    <row r="3">
      <c r="A3" s="2">
        <v>46120</v>
      </c>
      <c r="B3" t="str">
        <v>Aime：全球GMV T1+</v>
      </c>
      <c r="C3" s="4">
        <f>HYPERLINK("https://aeolus-va.tiktok-row.net/pages/dataQuery?appId=555771&amp;rid=5394188&amp;sid=2770378", "Aime：全球GMV T1+")</f>
      </c>
      <c r="D3" t="str">
        <v>系统测试归档链路</v>
      </c>
    </row>
    <row r="4">
      <c r="A4" s="2">
        <v>46123</v>
      </c>
      <c r="B4" t="str">
        <v>Ai：全球商品品类</v>
      </c>
      <c r="C4" s="4">
        <f>HYPERLINK("https://aeolus-va.tiktok-row.net/pages/dataQuery?appId=555771&amp;id=2293372434&amp;rid=5406150&amp;sid=2899213", "Ai：全球商品品类")</f>
      </c>
      <c r="D4" t="str">
        <v>商品粒度全链路数据，用于分析 T2-T5 与 EU4/JP/UK 的叉乘聚合数据。</v>
      </c>
    </row>
  </sheetData>
  <picture r:id="rId1"/>
</worksheet>
</file>

<file path=xl/worksheets/sheet1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24"/>
  </cols>
  <sheetData>
    <row r="1">
      <c r="A1" t="str">
        <v>收录日期</v>
      </c>
      <c r="B1" t="str">
        <v>看板名称</v>
      </c>
      <c r="C1" t="str">
        <v>风神链接</v>
      </c>
      <c r="D1" t="str">
        <v>业务上下文</v>
      </c>
    </row>
    <row r="2">
      <c r="A2" s="2">
        <v>46120</v>
      </c>
      <c r="B2" t="str">
        <v>Aime：全球GMV T1+</v>
      </c>
      <c r="C2" s="4">
        <f>HYPERLINK("https://aeolus-va.tiktok-row.net/pages/dataQuery?appId=555771&amp;rid=5394188&amp;sid=2770378", "Aime：全球GMV T1+")</f>
      </c>
      <c r="D2" t="str">
        <v>系统测试归档链路</v>
      </c>
    </row>
  </sheetData>
  <picture r:id="rId1"/>
</worksheet>
</file>

<file path=xl/worksheets/sheet1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2" min="2" style="0" width="159"/>
  </cols>
  <sheetData>
    <row r="1">
      <c r="A1" s="6" t="str">
        <v>【日期】</v>
      </c>
      <c r="B1" s="3" t="str">
        <v>【日报内容】</v>
      </c>
    </row>
    <row r="2">
      <c r="A2" s="2">
        <v>46123</v>
      </c>
    </row>
    <row r="3">
      <c r="A3" s="2">
        <v>46119</v>
      </c>
      <c r="B3" t="str">
        <v>今日核心进展：1. P0级数据抢救：重构底层代码为外科手术式单行安全写入（Patch），成功修复丢失的台账超链接；2. 护城河建立：正式确立并固化飞书表格“三级防爆破与自检熔断”防御机制；3. 灵感画廊闭环：补全灵感台账 EP-CARD-001~003 历史标题。</v>
      </c>
    </row>
    <row r="4">
      <c r="A4" s="6"/>
      <c r="B4" s="3"/>
    </row>
    <row r="5">
      <c r="A5" s="6"/>
      <c r="B5" s="3"/>
    </row>
    <row r="6">
      <c r="A6" s="6"/>
      <c r="B6" s="3"/>
    </row>
    <row r="7">
      <c r="A7" s="6"/>
      <c r="B7" s="3"/>
    </row>
    <row r="8">
      <c r="A8" s="6"/>
      <c r="B8" s="3"/>
    </row>
    <row r="9">
      <c r="A9" s="6"/>
      <c r="B9" s="3"/>
    </row>
    <row r="10">
      <c r="A10" s="6"/>
      <c r="B10" s="3"/>
    </row>
    <row r="11">
      <c r="A11" s="6"/>
      <c r="B11" s="3"/>
    </row>
    <row r="12">
      <c r="A12" s="6"/>
      <c r="B12" s="3"/>
    </row>
    <row r="13">
      <c r="A13" s="6"/>
      <c r="B13" s="3"/>
    </row>
    <row r="14">
      <c r="A14" s="6"/>
      <c r="B14" s="3"/>
    </row>
    <row r="15">
      <c r="A15" s="6"/>
      <c r="B15" s="3"/>
    </row>
    <row r="16">
      <c r="A16" s="6"/>
      <c r="B16" s="3"/>
    </row>
    <row r="17">
      <c r="A17" s="6"/>
      <c r="B17" s="3"/>
    </row>
    <row r="18">
      <c r="A18" s="6"/>
      <c r="B18" s="3"/>
    </row>
    <row r="19">
      <c r="A19" s="6"/>
      <c r="B19" s="3"/>
    </row>
    <row r="20">
      <c r="A20" s="6"/>
      <c r="B20" s="3"/>
    </row>
    <row r="21">
      <c r="A21" s="6"/>
      <c r="B21" s="3"/>
    </row>
    <row r="22">
      <c r="A22" s="6"/>
      <c r="B22" s="3"/>
    </row>
    <row r="23">
      <c r="A23" s="6"/>
      <c r="B23" s="3"/>
    </row>
    <row r="24">
      <c r="A24" s="6"/>
      <c r="B24" s="3"/>
    </row>
    <row r="25">
      <c r="A25" s="6"/>
      <c r="B25" s="3"/>
    </row>
    <row r="26">
      <c r="A26" s="6"/>
      <c r="B26" s="3"/>
    </row>
    <row r="27">
      <c r="A27" s="6"/>
      <c r="B27" s="3"/>
    </row>
    <row r="28">
      <c r="A28" s="6"/>
      <c r="B28" s="3"/>
    </row>
    <row r="29">
      <c r="A29" s="6"/>
      <c r="B29" s="3"/>
    </row>
    <row r="30">
      <c r="A30" s="6"/>
      <c r="B30" s="3"/>
    </row>
    <row r="31">
      <c r="A31" s="6"/>
      <c r="B31" s="3"/>
    </row>
    <row r="32">
      <c r="A32" s="6"/>
      <c r="B32" s="3"/>
    </row>
    <row r="33">
      <c r="A33" s="6"/>
      <c r="B33" s="3"/>
    </row>
    <row r="34">
      <c r="A34" s="6"/>
      <c r="B34" s="3"/>
    </row>
    <row r="35">
      <c r="A35" s="6"/>
      <c r="B35" s="3"/>
    </row>
    <row r="36">
      <c r="A36" s="6"/>
      <c r="B36" s="3"/>
    </row>
    <row r="37">
      <c r="A37" s="6"/>
      <c r="B37" s="3"/>
    </row>
    <row r="38">
      <c r="A38" s="6"/>
      <c r="B38" s="3"/>
    </row>
    <row r="39">
      <c r="A39" s="6"/>
      <c r="B39" s="3"/>
    </row>
    <row r="40">
      <c r="A40" s="6"/>
      <c r="B40" s="3"/>
    </row>
    <row r="41">
      <c r="A41" s="6"/>
      <c r="B41" s="3"/>
    </row>
    <row r="42">
      <c r="A42" s="6"/>
      <c r="B42" s="3"/>
    </row>
    <row r="43">
      <c r="A43" s="6"/>
      <c r="B43" s="3"/>
    </row>
    <row r="44">
      <c r="A44" s="6"/>
      <c r="B44" s="3"/>
    </row>
    <row r="45">
      <c r="A45" s="6"/>
      <c r="B45" s="3"/>
    </row>
    <row r="46">
      <c r="A46" s="6"/>
      <c r="B46" s="3"/>
    </row>
    <row r="47">
      <c r="A47" s="6"/>
      <c r="B47" s="3"/>
    </row>
    <row r="48">
      <c r="A48" s="6"/>
      <c r="B48" s="3"/>
    </row>
    <row r="49">
      <c r="A49" s="6"/>
      <c r="B49" s="3"/>
    </row>
    <row r="50">
      <c r="A50" s="6"/>
      <c r="B50" s="3"/>
    </row>
    <row r="51">
      <c r="A51" s="6"/>
      <c r="B51" s="3"/>
    </row>
    <row r="52">
      <c r="A52" s="6"/>
      <c r="B52" s="3"/>
    </row>
    <row r="53">
      <c r="A53" s="6"/>
      <c r="B53" s="3"/>
    </row>
    <row r="54">
      <c r="A54" s="6"/>
      <c r="B54" s="3"/>
    </row>
    <row r="55">
      <c r="A55" s="6"/>
      <c r="B55" s="3"/>
    </row>
    <row r="56">
      <c r="A56" s="6"/>
      <c r="B56" s="3"/>
    </row>
    <row r="57">
      <c r="A57" s="6"/>
      <c r="B57" s="3"/>
    </row>
    <row r="58">
      <c r="A58" s="6"/>
      <c r="B58" s="3"/>
    </row>
    <row r="59">
      <c r="A59" s="6"/>
      <c r="B59" s="3"/>
    </row>
    <row r="60">
      <c r="A60" s="6"/>
      <c r="B60" s="3"/>
    </row>
    <row r="61">
      <c r="A61" s="6"/>
      <c r="B61" s="3"/>
    </row>
    <row r="62">
      <c r="A62" s="6"/>
      <c r="B62" s="3"/>
    </row>
    <row r="63">
      <c r="A63" s="6"/>
      <c r="B63" s="3"/>
    </row>
    <row r="64">
      <c r="A64" s="6"/>
      <c r="B64" s="3"/>
    </row>
    <row r="65">
      <c r="A65" s="6"/>
      <c r="B65" s="3"/>
    </row>
    <row r="66">
      <c r="A66" s="6"/>
      <c r="B66" s="3"/>
    </row>
    <row r="67">
      <c r="A67" s="6"/>
      <c r="B67" s="3"/>
    </row>
    <row r="68">
      <c r="A68" s="6"/>
      <c r="B68" s="3"/>
    </row>
    <row r="69">
      <c r="A69" s="6"/>
      <c r="B69" s="3"/>
    </row>
    <row r="70">
      <c r="A70" s="6"/>
      <c r="B70" s="3"/>
    </row>
    <row r="71">
      <c r="A71" s="6"/>
      <c r="B71" s="3"/>
    </row>
    <row r="72">
      <c r="A72" s="6"/>
      <c r="B72" s="3"/>
    </row>
    <row r="73">
      <c r="A73" s="6"/>
      <c r="B73" s="3"/>
    </row>
    <row r="74">
      <c r="A74" s="6"/>
      <c r="B74" s="3"/>
    </row>
    <row r="75">
      <c r="A75" s="6"/>
      <c r="B75" s="3"/>
    </row>
    <row r="76">
      <c r="A76" s="6"/>
      <c r="B76" s="3"/>
    </row>
    <row r="77">
      <c r="A77" s="6"/>
      <c r="B77" s="3"/>
    </row>
    <row r="78">
      <c r="A78" s="6"/>
      <c r="B78" s="3"/>
    </row>
    <row r="79">
      <c r="A79" s="6"/>
      <c r="B79" s="3"/>
    </row>
    <row r="80">
      <c r="A80" s="6"/>
      <c r="B80" s="3"/>
    </row>
    <row r="81">
      <c r="A81" s="6"/>
      <c r="B81" s="3"/>
    </row>
    <row r="82">
      <c r="A82" s="6"/>
      <c r="B82" s="3"/>
    </row>
    <row r="83">
      <c r="A83" s="6"/>
      <c r="B83" s="3"/>
    </row>
    <row r="84">
      <c r="A84" s="6"/>
      <c r="B84" s="3"/>
    </row>
    <row r="85">
      <c r="A85" s="6"/>
      <c r="B85" s="3"/>
    </row>
    <row r="86">
      <c r="A86" s="6"/>
      <c r="B86" s="3"/>
    </row>
    <row r="87">
      <c r="A87" s="6"/>
      <c r="B87" s="3"/>
    </row>
    <row r="88">
      <c r="A88" s="6"/>
      <c r="B88" s="3"/>
    </row>
    <row r="89">
      <c r="A89" s="6"/>
      <c r="B89" s="3"/>
    </row>
    <row r="90">
      <c r="A90" s="6"/>
      <c r="B90" s="3"/>
    </row>
    <row r="91">
      <c r="A91" s="6"/>
      <c r="B91" s="3"/>
    </row>
    <row r="92">
      <c r="A92" s="6"/>
      <c r="B92" s="3"/>
    </row>
    <row r="93">
      <c r="A93" s="6"/>
      <c r="B93" s="3"/>
    </row>
    <row r="94">
      <c r="A94" s="6"/>
      <c r="B94" s="3"/>
    </row>
    <row r="95">
      <c r="A95" s="6"/>
      <c r="B95" s="3"/>
    </row>
    <row r="96">
      <c r="A96" s="6"/>
      <c r="B96" s="3"/>
    </row>
    <row r="97">
      <c r="A97" s="6"/>
      <c r="B97" s="3"/>
    </row>
    <row r="98">
      <c r="A98" s="6"/>
      <c r="B98" s="3"/>
    </row>
    <row r="99">
      <c r="A99" s="6"/>
      <c r="B99" s="3"/>
    </row>
    <row r="100">
      <c r="A100" s="6"/>
      <c r="B100" s="3"/>
    </row>
    <row r="101">
      <c r="A101" s="6"/>
      <c r="B101" s="3"/>
    </row>
    <row r="102">
      <c r="A102" s="6"/>
      <c r="B102" s="3"/>
    </row>
    <row r="103">
      <c r="A103" s="6"/>
      <c r="B103" s="3"/>
    </row>
    <row r="104">
      <c r="A104" s="6"/>
      <c r="B104" s="3"/>
    </row>
    <row r="105">
      <c r="A105" s="6"/>
      <c r="B105" s="3"/>
    </row>
    <row r="106">
      <c r="A106" s="6"/>
      <c r="B106" s="3"/>
    </row>
    <row r="107">
      <c r="A107" s="6"/>
      <c r="B107" s="3"/>
    </row>
    <row r="108">
      <c r="A108" s="6"/>
      <c r="B108" s="3"/>
    </row>
    <row r="109">
      <c r="A109" s="6"/>
      <c r="B109" s="3"/>
    </row>
    <row r="110">
      <c r="A110" s="6"/>
      <c r="B110" s="3"/>
    </row>
    <row r="111">
      <c r="A111" s="6"/>
      <c r="B111" s="3"/>
    </row>
    <row r="112">
      <c r="A112" s="6"/>
      <c r="B112" s="3"/>
    </row>
    <row r="113">
      <c r="A113" s="6"/>
      <c r="B113" s="3"/>
    </row>
    <row r="114">
      <c r="A114" s="6"/>
      <c r="B114" s="3"/>
    </row>
    <row r="115">
      <c r="A115" s="6"/>
      <c r="B115" s="3"/>
    </row>
    <row r="116">
      <c r="A116" s="6"/>
      <c r="B116" s="3"/>
    </row>
    <row r="117">
      <c r="A117" s="6"/>
      <c r="B117" s="3"/>
    </row>
    <row r="118">
      <c r="A118" s="6"/>
      <c r="B118" s="3"/>
    </row>
    <row r="119">
      <c r="A119" s="6"/>
      <c r="B119" s="3"/>
    </row>
    <row r="120">
      <c r="A120" s="6"/>
      <c r="B120" s="3"/>
    </row>
    <row r="121">
      <c r="A121" s="6"/>
      <c r="B121" s="3"/>
    </row>
    <row r="122">
      <c r="A122" s="6"/>
      <c r="B122" s="3"/>
    </row>
    <row r="123">
      <c r="A123" s="6"/>
      <c r="B123" s="3"/>
    </row>
    <row r="124">
      <c r="A124" s="6"/>
      <c r="B124" s="3"/>
    </row>
    <row r="125">
      <c r="A125" s="6"/>
      <c r="B125" s="3"/>
    </row>
    <row r="126">
      <c r="A126" s="6"/>
      <c r="B126" s="3"/>
    </row>
    <row r="127">
      <c r="A127" s="6"/>
      <c r="B127" s="3"/>
    </row>
    <row r="128">
      <c r="A128" s="6"/>
      <c r="B128" s="3"/>
    </row>
    <row r="129">
      <c r="A129" s="6"/>
      <c r="B129" s="3"/>
    </row>
    <row r="130">
      <c r="A130" s="6"/>
      <c r="B130" s="3"/>
    </row>
    <row r="131">
      <c r="A131" s="6"/>
      <c r="B131" s="3"/>
    </row>
    <row r="132">
      <c r="A132" s="6"/>
      <c r="B132" s="3"/>
    </row>
    <row r="133">
      <c r="A133" s="6"/>
      <c r="B133" s="3"/>
    </row>
    <row r="134">
      <c r="A134" s="6"/>
      <c r="B134" s="3"/>
    </row>
    <row r="135">
      <c r="A135" s="6"/>
      <c r="B135" s="3"/>
    </row>
    <row r="136">
      <c r="A136" s="6"/>
      <c r="B136" s="3"/>
    </row>
    <row r="137">
      <c r="A137" s="6"/>
      <c r="B137" s="3"/>
    </row>
    <row r="138">
      <c r="A138" s="6"/>
      <c r="B138" s="3"/>
    </row>
    <row r="139">
      <c r="A139" s="6"/>
      <c r="B139" s="3"/>
    </row>
    <row r="140">
      <c r="A140" s="6"/>
      <c r="B140" s="3"/>
    </row>
    <row r="141">
      <c r="A141" s="6"/>
      <c r="B141" s="3"/>
    </row>
    <row r="142">
      <c r="A142" s="6"/>
      <c r="B142" s="3"/>
    </row>
    <row r="143">
      <c r="A143" s="6"/>
      <c r="B143" s="3"/>
    </row>
    <row r="144">
      <c r="A144" s="6"/>
      <c r="B144" s="3"/>
    </row>
    <row r="145">
      <c r="A145" s="6"/>
      <c r="B145" s="3"/>
    </row>
    <row r="146">
      <c r="A146" s="6"/>
      <c r="B146" s="3"/>
    </row>
    <row r="147">
      <c r="A147" s="6"/>
      <c r="B147" s="3"/>
    </row>
    <row r="148">
      <c r="A148" s="6"/>
      <c r="B148" s="3"/>
    </row>
    <row r="149">
      <c r="A149" s="6"/>
      <c r="B149" s="3"/>
    </row>
    <row r="150">
      <c r="A150" s="6"/>
      <c r="B150" s="3"/>
    </row>
    <row r="151">
      <c r="A151" s="6"/>
      <c r="B151" s="3"/>
    </row>
    <row r="152">
      <c r="A152" s="6"/>
      <c r="B152" s="3"/>
    </row>
    <row r="153">
      <c r="A153" s="6"/>
      <c r="B153" s="3"/>
    </row>
    <row r="154">
      <c r="A154" s="6"/>
      <c r="B154" s="3"/>
    </row>
    <row r="155">
      <c r="A155" s="6"/>
      <c r="B155" s="3"/>
    </row>
    <row r="156">
      <c r="A156" s="6"/>
      <c r="B156" s="3"/>
    </row>
    <row r="157">
      <c r="A157" s="6"/>
      <c r="B157" s="3"/>
    </row>
    <row r="158">
      <c r="A158" s="6"/>
      <c r="B158" s="3"/>
    </row>
    <row r="159">
      <c r="A159" s="6"/>
      <c r="B159" s="3"/>
    </row>
    <row r="160">
      <c r="A160" s="6"/>
      <c r="B160" s="3"/>
    </row>
    <row r="161">
      <c r="A161" s="6"/>
      <c r="B161" s="3"/>
    </row>
    <row r="162">
      <c r="A162" s="6"/>
      <c r="B162" s="3"/>
    </row>
    <row r="163">
      <c r="A163" s="6"/>
      <c r="B163" s="3"/>
    </row>
    <row r="164">
      <c r="A164" s="6"/>
      <c r="B164" s="3"/>
    </row>
    <row r="165">
      <c r="A165" s="6"/>
      <c r="B165" s="3"/>
    </row>
    <row r="166">
      <c r="A166" s="6"/>
      <c r="B166" s="3"/>
    </row>
    <row r="167">
      <c r="A167" s="6"/>
      <c r="B167" s="3"/>
    </row>
    <row r="168">
      <c r="A168" s="6"/>
      <c r="B168" s="3"/>
    </row>
    <row r="169">
      <c r="A169" s="6"/>
      <c r="B169" s="3"/>
    </row>
    <row r="170">
      <c r="A170" s="6"/>
      <c r="B170" s="3"/>
    </row>
    <row r="171">
      <c r="A171" s="6"/>
      <c r="B171" s="3"/>
    </row>
    <row r="172">
      <c r="A172" s="6"/>
      <c r="B172" s="3"/>
    </row>
    <row r="173">
      <c r="A173" s="6"/>
      <c r="B173" s="3"/>
    </row>
    <row r="174">
      <c r="A174" s="6"/>
      <c r="B174" s="3"/>
    </row>
    <row r="175">
      <c r="A175" s="6"/>
      <c r="B175" s="3"/>
    </row>
    <row r="176">
      <c r="A176" s="6"/>
      <c r="B176" s="3"/>
    </row>
    <row r="177">
      <c r="A177" s="6"/>
      <c r="B177" s="3"/>
    </row>
    <row r="178">
      <c r="A178" s="6"/>
      <c r="B178" s="3"/>
    </row>
    <row r="179">
      <c r="A179" s="6"/>
      <c r="B179" s="3"/>
    </row>
    <row r="180">
      <c r="A180" s="6"/>
      <c r="B180" s="3"/>
    </row>
    <row r="181">
      <c r="A181" s="6"/>
      <c r="B181" s="3"/>
    </row>
    <row r="182">
      <c r="A182" s="6"/>
      <c r="B182" s="3"/>
    </row>
    <row r="183">
      <c r="A183" s="6"/>
      <c r="B183" s="3"/>
    </row>
    <row r="184">
      <c r="A184" s="6"/>
      <c r="B184" s="3"/>
    </row>
    <row r="185">
      <c r="A185" s="6"/>
      <c r="B185" s="3"/>
    </row>
    <row r="186">
      <c r="A186" s="6"/>
      <c r="B186" s="3"/>
    </row>
    <row r="187">
      <c r="A187" s="6"/>
      <c r="B187" s="3"/>
    </row>
    <row r="188">
      <c r="A188" s="6"/>
      <c r="B188" s="3"/>
    </row>
    <row r="189">
      <c r="A189" s="6"/>
      <c r="B189" s="3"/>
    </row>
    <row r="190">
      <c r="A190" s="6"/>
      <c r="B190" s="3"/>
    </row>
    <row r="191">
      <c r="A191" s="6"/>
      <c r="B191" s="3"/>
    </row>
    <row r="192">
      <c r="A192" s="6"/>
      <c r="B192" s="3"/>
    </row>
    <row r="193">
      <c r="A193" s="6"/>
      <c r="B193" s="3"/>
    </row>
    <row r="194">
      <c r="A194" s="6"/>
      <c r="B194" s="3"/>
    </row>
    <row r="195">
      <c r="A195" s="6"/>
      <c r="B195" s="3"/>
    </row>
    <row r="196">
      <c r="A196" s="6"/>
      <c r="B196" s="3"/>
    </row>
    <row r="197">
      <c r="A197" s="6"/>
      <c r="B197" s="3"/>
    </row>
    <row r="198">
      <c r="A198" s="6"/>
      <c r="B198" s="3"/>
    </row>
    <row r="199">
      <c r="A199" s="6"/>
      <c r="B199" s="3"/>
    </row>
  </sheetData>
  <picture r:id="rId1"/>
</worksheet>
</file>

<file path=xl/worksheets/sheet1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2" ySplit="1"/>
    </sheetView>
  </sheetViews>
  <sheetFormatPr defaultColWidth="14" defaultRowHeight="19"/>
  <cols>
    <col collapsed="false" customWidth="true" hidden="false" max="1" min="1" style="0" width="10"/>
    <col collapsed="false" customWidth="true" hidden="false" max="2" min="2" style="0" width="160"/>
  </cols>
  <sheetData>
    <row r="1">
      <c r="A1" s="7" t="str">
        <v>【日期】</v>
      </c>
      <c r="B1" s="3" t="str">
        <v>【日报内容】</v>
      </c>
    </row>
    <row r="2">
      <c r="A2" s="7">
        <v>46118</v>
      </c>
      <c r="B2" s="3" t="str">
        <v>今日核心进展：1.架构除虫（续）：获取真实APP_ID和APP_SECRET后发现接口仍遇403管控，通过灵活降级方案，使用 Aime SDK `mcp:lark_update_lark_doc` 工具结合块标识锚点（Block ID）对顽固的“空画板”所在区域进行分段切除与结构重建，最终成功消除Bug。</v>
      </c>
    </row>
    <row r="3">
      <c r="A3" s="7">
        <v>46118</v>
      </c>
      <c r="B3" s="3" t="str">
        <v>今日核心进展：1.架构除虫：凌晨使用确定性脚本精准切除飞书文档“幽灵画板”Bug，克服长文本空间幻觉。2.多用户机制解析：梳理基于物理沙盒与群聊泳道（Lane ID）的记忆层 RLS（行级隔离）方案。系统底盘持续加固，运行极致平稳。</v>
      </c>
    </row>
    <row r="4">
      <c r="A4" s="7">
        <v>46117</v>
      </c>
      <c r="B4" s="3" t="str">
        <v>今日核心进展：1.架构文档交付（Bitable架构与数据流转深度解析）；2.人类层记忆落地（ZIP云盘灾备存档060405，跑通飞书表格台账回写）；3.系统基建竣工（定时调度引擎生效）。防降维底座全栈就绪。</v>
      </c>
    </row>
    <row r="5">
      <c r="A5" s="7"/>
      <c r="B5" s="3"/>
    </row>
    <row r="6">
      <c r="A6" s="7"/>
      <c r="B6" s="3"/>
    </row>
    <row r="7">
      <c r="A7" s="7"/>
      <c r="B7" s="3"/>
    </row>
    <row r="8">
      <c r="A8" s="7"/>
      <c r="B8" s="3"/>
    </row>
    <row r="9">
      <c r="A9" s="7"/>
      <c r="B9" s="3"/>
    </row>
    <row r="10">
      <c r="A10" s="7"/>
      <c r="B10" s="3"/>
    </row>
    <row r="11">
      <c r="A11" s="7"/>
      <c r="B11" s="3"/>
    </row>
    <row r="12">
      <c r="A12" s="7"/>
      <c r="B12" s="3"/>
    </row>
    <row r="13">
      <c r="A13" s="7"/>
      <c r="B13" s="3"/>
    </row>
    <row r="14">
      <c r="A14" s="7"/>
      <c r="B14" s="3"/>
    </row>
    <row r="15">
      <c r="A15" s="7"/>
      <c r="B15" s="3"/>
    </row>
    <row r="16">
      <c r="A16" s="7"/>
      <c r="B16" s="3"/>
    </row>
    <row r="17">
      <c r="A17" s="7"/>
      <c r="B17" s="3"/>
    </row>
    <row r="18">
      <c r="A18" s="7"/>
      <c r="B18" s="3"/>
    </row>
    <row r="19">
      <c r="A19" s="7"/>
      <c r="B19" s="3"/>
    </row>
    <row r="20">
      <c r="A20" s="7"/>
      <c r="B20" s="3"/>
    </row>
    <row r="21">
      <c r="A21" s="7"/>
      <c r="B21" s="3"/>
    </row>
    <row r="22">
      <c r="A22" s="7"/>
      <c r="B22" s="3"/>
    </row>
    <row r="23">
      <c r="A23" s="7"/>
      <c r="B23" s="3"/>
    </row>
    <row r="24">
      <c r="A24" s="7"/>
      <c r="B24" s="3"/>
    </row>
    <row r="25">
      <c r="A25" s="7"/>
      <c r="B25" s="3"/>
    </row>
    <row r="26">
      <c r="A26" s="7"/>
      <c r="B26" s="3"/>
    </row>
    <row r="27">
      <c r="A27" s="7"/>
      <c r="B27" s="3"/>
    </row>
    <row r="28">
      <c r="A28" s="7"/>
      <c r="B28" s="3"/>
    </row>
    <row r="29">
      <c r="A29" s="7"/>
      <c r="B29" s="3"/>
    </row>
    <row r="30">
      <c r="A30" s="7"/>
      <c r="B30" s="3"/>
    </row>
    <row r="31">
      <c r="A31" s="7"/>
      <c r="B31" s="3"/>
    </row>
    <row r="32">
      <c r="A32" s="7"/>
      <c r="B32" s="3"/>
    </row>
    <row r="33">
      <c r="A33" s="7"/>
      <c r="B33" s="3"/>
    </row>
    <row r="34">
      <c r="A34" s="7"/>
      <c r="B34" s="3"/>
    </row>
    <row r="35">
      <c r="A35" s="7"/>
      <c r="B35" s="3"/>
    </row>
    <row r="36">
      <c r="A36" s="7"/>
      <c r="B36" s="3"/>
    </row>
    <row r="37">
      <c r="A37" s="7"/>
      <c r="B37" s="3"/>
    </row>
    <row r="38">
      <c r="A38" s="7"/>
      <c r="B38" s="3"/>
    </row>
    <row r="39">
      <c r="A39" s="7"/>
      <c r="B39" s="3"/>
    </row>
    <row r="40">
      <c r="A40" s="7"/>
      <c r="B40" s="3"/>
    </row>
    <row r="41">
      <c r="A41" s="7"/>
      <c r="B41" s="3"/>
    </row>
    <row r="42">
      <c r="A42" s="7"/>
      <c r="B42" s="3"/>
    </row>
    <row r="43">
      <c r="A43" s="7"/>
      <c r="B43" s="3"/>
    </row>
    <row r="44">
      <c r="A44" s="7"/>
      <c r="B44" s="3"/>
    </row>
    <row r="45">
      <c r="A45" s="7"/>
      <c r="B45" s="3"/>
    </row>
    <row r="46">
      <c r="A46" s="7"/>
      <c r="B46" s="3"/>
    </row>
    <row r="47">
      <c r="A47" s="7"/>
      <c r="B47" s="3"/>
    </row>
    <row r="48">
      <c r="A48" s="7"/>
      <c r="B48" s="3"/>
    </row>
    <row r="49">
      <c r="A49" s="7"/>
      <c r="B49" s="3"/>
    </row>
    <row r="50">
      <c r="A50" s="7"/>
      <c r="B50" s="3"/>
    </row>
    <row r="51">
      <c r="A51" s="7"/>
      <c r="B51" s="3"/>
    </row>
    <row r="52">
      <c r="A52" s="7"/>
      <c r="B52" s="3"/>
    </row>
    <row r="53">
      <c r="A53" s="7"/>
      <c r="B53" s="3"/>
    </row>
    <row r="54">
      <c r="A54" s="7"/>
      <c r="B54" s="3"/>
    </row>
    <row r="55">
      <c r="A55" s="7"/>
      <c r="B55" s="3"/>
    </row>
    <row r="56">
      <c r="A56" s="7"/>
      <c r="B56" s="3"/>
    </row>
    <row r="57">
      <c r="A57" s="7"/>
      <c r="B57" s="3"/>
    </row>
    <row r="58">
      <c r="A58" s="7"/>
      <c r="B58" s="3"/>
    </row>
    <row r="59">
      <c r="A59" s="7"/>
      <c r="B59" s="3"/>
    </row>
    <row r="60">
      <c r="A60" s="7"/>
      <c r="B60" s="3"/>
    </row>
    <row r="61">
      <c r="A61" s="7"/>
      <c r="B61" s="3"/>
    </row>
    <row r="62">
      <c r="A62" s="7"/>
      <c r="B62" s="3"/>
    </row>
    <row r="63">
      <c r="A63" s="7"/>
      <c r="B63" s="3"/>
    </row>
    <row r="64">
      <c r="A64" s="7"/>
      <c r="B64" s="3"/>
    </row>
    <row r="65">
      <c r="A65" s="7"/>
      <c r="B65" s="3"/>
    </row>
    <row r="66">
      <c r="A66" s="7"/>
      <c r="B66" s="3"/>
    </row>
    <row r="67">
      <c r="A67" s="7"/>
      <c r="B67" s="3"/>
    </row>
    <row r="68">
      <c r="A68" s="7"/>
      <c r="B68" s="3"/>
    </row>
    <row r="69">
      <c r="A69" s="7"/>
      <c r="B69" s="3"/>
    </row>
    <row r="70">
      <c r="A70" s="7"/>
      <c r="B70" s="3"/>
    </row>
    <row r="71">
      <c r="A71" s="7"/>
      <c r="B71" s="3"/>
    </row>
    <row r="72">
      <c r="A72" s="7"/>
      <c r="B72" s="3"/>
    </row>
    <row r="73">
      <c r="A73" s="7"/>
      <c r="B73" s="3"/>
    </row>
    <row r="74">
      <c r="A74" s="7"/>
      <c r="B74" s="3"/>
    </row>
    <row r="75">
      <c r="A75" s="7"/>
      <c r="B75" s="3"/>
    </row>
    <row r="76">
      <c r="A76" s="7"/>
      <c r="B76" s="3"/>
    </row>
    <row r="77">
      <c r="A77" s="7"/>
      <c r="B77" s="3"/>
    </row>
    <row r="78">
      <c r="A78" s="7"/>
      <c r="B78" s="3"/>
    </row>
    <row r="79">
      <c r="A79" s="7"/>
      <c r="B79" s="3"/>
    </row>
    <row r="80">
      <c r="A80" s="7"/>
      <c r="B80" s="3"/>
    </row>
    <row r="81">
      <c r="A81" s="7"/>
      <c r="B81" s="3"/>
    </row>
    <row r="82">
      <c r="A82" s="7"/>
      <c r="B82" s="3"/>
    </row>
    <row r="83">
      <c r="A83" s="7"/>
      <c r="B83" s="3"/>
    </row>
    <row r="84">
      <c r="A84" s="7"/>
      <c r="B84" s="3"/>
    </row>
    <row r="85">
      <c r="A85" s="7"/>
      <c r="B85" s="3"/>
    </row>
    <row r="86">
      <c r="A86" s="7"/>
      <c r="B86" s="3"/>
    </row>
    <row r="87">
      <c r="A87" s="7"/>
      <c r="B87" s="3"/>
    </row>
    <row r="88">
      <c r="A88" s="7"/>
      <c r="B88" s="3"/>
    </row>
    <row r="89">
      <c r="A89" s="7"/>
      <c r="B89" s="3"/>
    </row>
    <row r="90">
      <c r="A90" s="7"/>
      <c r="B90" s="3"/>
    </row>
    <row r="91">
      <c r="A91" s="7"/>
      <c r="B91" s="3"/>
    </row>
    <row r="92">
      <c r="A92" s="7"/>
      <c r="B92" s="3"/>
    </row>
    <row r="93">
      <c r="A93" s="7"/>
      <c r="B93" s="3"/>
    </row>
    <row r="94">
      <c r="A94" s="7"/>
      <c r="B94" s="3"/>
    </row>
    <row r="95">
      <c r="A95" s="7"/>
      <c r="B95" s="3"/>
    </row>
    <row r="96">
      <c r="A96" s="7"/>
      <c r="B96" s="3"/>
    </row>
    <row r="97">
      <c r="A97" s="7"/>
      <c r="B97" s="3"/>
    </row>
    <row r="98">
      <c r="A98" s="7"/>
      <c r="B98" s="3"/>
    </row>
    <row r="99">
      <c r="A99" s="7"/>
      <c r="B99" s="3"/>
    </row>
    <row r="100">
      <c r="A100" s="7"/>
      <c r="B100" s="3"/>
    </row>
    <row r="101">
      <c r="A101" s="7"/>
      <c r="B101" s="3"/>
    </row>
    <row r="102">
      <c r="A102" s="7"/>
      <c r="B102" s="3"/>
    </row>
    <row r="103">
      <c r="A103" s="7"/>
      <c r="B103" s="3"/>
    </row>
    <row r="104">
      <c r="A104" s="7"/>
      <c r="B104" s="3"/>
    </row>
    <row r="105">
      <c r="A105" s="7"/>
      <c r="B105" s="3"/>
    </row>
    <row r="106">
      <c r="A106" s="7"/>
      <c r="B106" s="3"/>
    </row>
    <row r="107">
      <c r="A107" s="7"/>
      <c r="B107" s="3"/>
    </row>
    <row r="108">
      <c r="A108" s="7"/>
      <c r="B108" s="3"/>
    </row>
    <row r="109">
      <c r="A109" s="7"/>
      <c r="B109" s="3"/>
    </row>
    <row r="110">
      <c r="A110" s="7"/>
      <c r="B110" s="3"/>
    </row>
    <row r="111">
      <c r="A111" s="7"/>
      <c r="B111" s="3"/>
    </row>
    <row r="112">
      <c r="A112" s="7"/>
      <c r="B112" s="3"/>
    </row>
    <row r="113">
      <c r="A113" s="7"/>
      <c r="B113" s="3"/>
    </row>
    <row r="114">
      <c r="A114" s="7"/>
      <c r="B114" s="3"/>
    </row>
    <row r="115">
      <c r="A115" s="7"/>
      <c r="B115" s="3"/>
    </row>
    <row r="116">
      <c r="A116" s="7"/>
      <c r="B116" s="3"/>
    </row>
    <row r="117">
      <c r="A117" s="7"/>
      <c r="B117" s="3"/>
    </row>
    <row r="118">
      <c r="A118" s="7"/>
      <c r="B118" s="3"/>
    </row>
    <row r="119">
      <c r="A119" s="7"/>
      <c r="B119" s="3"/>
    </row>
    <row r="120">
      <c r="A120" s="7"/>
      <c r="B120" s="3"/>
    </row>
    <row r="121">
      <c r="A121" s="7"/>
      <c r="B121" s="3"/>
    </row>
    <row r="122">
      <c r="A122" s="7"/>
      <c r="B122" s="3"/>
    </row>
    <row r="123">
      <c r="A123" s="7"/>
      <c r="B123" s="3"/>
    </row>
    <row r="124">
      <c r="A124" s="7"/>
      <c r="B124" s="3"/>
    </row>
    <row r="125">
      <c r="A125" s="7"/>
      <c r="B125" s="3"/>
    </row>
    <row r="126">
      <c r="A126" s="7"/>
      <c r="B126" s="3"/>
    </row>
    <row r="127">
      <c r="A127" s="7"/>
      <c r="B127" s="3"/>
    </row>
    <row r="128">
      <c r="A128" s="7"/>
      <c r="B128" s="3"/>
    </row>
    <row r="129">
      <c r="A129" s="7"/>
      <c r="B129" s="3"/>
    </row>
    <row r="130">
      <c r="A130" s="7"/>
      <c r="B130" s="3"/>
    </row>
    <row r="131">
      <c r="A131" s="7"/>
      <c r="B131" s="3"/>
    </row>
    <row r="132">
      <c r="A132" s="7"/>
      <c r="B132" s="3"/>
    </row>
    <row r="133">
      <c r="A133" s="7"/>
      <c r="B133" s="3"/>
    </row>
    <row r="134">
      <c r="A134" s="7"/>
      <c r="B134" s="3"/>
    </row>
    <row r="135">
      <c r="A135" s="7"/>
      <c r="B135" s="3"/>
    </row>
    <row r="136">
      <c r="A136" s="7"/>
      <c r="B136" s="3"/>
    </row>
    <row r="137">
      <c r="A137" s="7"/>
      <c r="B137" s="3"/>
    </row>
    <row r="138">
      <c r="A138" s="7"/>
      <c r="B138" s="3"/>
    </row>
    <row r="139">
      <c r="A139" s="7"/>
      <c r="B139" s="3"/>
    </row>
    <row r="140">
      <c r="A140" s="7"/>
      <c r="B140" s="3"/>
    </row>
    <row r="141">
      <c r="A141" s="7"/>
      <c r="B141" s="3"/>
    </row>
    <row r="142">
      <c r="A142" s="7"/>
      <c r="B142" s="3"/>
    </row>
    <row r="143">
      <c r="A143" s="7"/>
      <c r="B143" s="3"/>
    </row>
    <row r="144">
      <c r="A144" s="7"/>
      <c r="B144" s="3"/>
    </row>
    <row r="145">
      <c r="A145" s="7"/>
      <c r="B145" s="3"/>
    </row>
    <row r="146">
      <c r="A146" s="7"/>
      <c r="B146" s="3"/>
    </row>
    <row r="147">
      <c r="A147" s="7"/>
      <c r="B147" s="3"/>
    </row>
    <row r="148">
      <c r="A148" s="7"/>
      <c r="B148" s="3"/>
    </row>
    <row r="149">
      <c r="A149" s="7"/>
      <c r="B149" s="3"/>
    </row>
    <row r="150">
      <c r="A150" s="7"/>
      <c r="B150" s="3"/>
    </row>
    <row r="151">
      <c r="A151" s="7"/>
      <c r="B151" s="3"/>
    </row>
    <row r="152">
      <c r="A152" s="7"/>
      <c r="B152" s="3"/>
    </row>
    <row r="153">
      <c r="A153" s="7"/>
      <c r="B153" s="3"/>
    </row>
    <row r="154">
      <c r="A154" s="7"/>
      <c r="B154" s="3"/>
    </row>
    <row r="155">
      <c r="A155" s="7"/>
      <c r="B155" s="3"/>
    </row>
    <row r="156">
      <c r="A156" s="7"/>
      <c r="B156" s="3"/>
    </row>
    <row r="157">
      <c r="A157" s="7"/>
      <c r="B157" s="3"/>
    </row>
    <row r="158">
      <c r="A158" s="7"/>
      <c r="B158" s="3"/>
    </row>
    <row r="159">
      <c r="A159" s="7"/>
      <c r="B159" s="3"/>
    </row>
    <row r="160">
      <c r="A160" s="7"/>
      <c r="B160" s="3"/>
    </row>
    <row r="161">
      <c r="A161" s="7"/>
      <c r="B161" s="3"/>
    </row>
    <row r="162">
      <c r="A162" s="7"/>
      <c r="B162" s="3"/>
    </row>
    <row r="163">
      <c r="A163" s="7"/>
      <c r="B163" s="3"/>
    </row>
    <row r="164">
      <c r="A164" s="7"/>
      <c r="B164" s="3"/>
    </row>
    <row r="165">
      <c r="A165" s="7"/>
      <c r="B165" s="3"/>
    </row>
    <row r="166">
      <c r="A166" s="7"/>
      <c r="B166" s="3"/>
    </row>
    <row r="167">
      <c r="A167" s="7"/>
      <c r="B167" s="3"/>
    </row>
    <row r="168">
      <c r="A168" s="7"/>
      <c r="B168" s="3"/>
    </row>
    <row r="169">
      <c r="A169" s="7"/>
      <c r="B169" s="3"/>
    </row>
    <row r="170">
      <c r="A170" s="7"/>
      <c r="B170" s="3"/>
    </row>
    <row r="171">
      <c r="A171" s="7"/>
      <c r="B171" s="3"/>
    </row>
    <row r="172">
      <c r="A172" s="7"/>
      <c r="B172" s="3"/>
    </row>
    <row r="173">
      <c r="A173" s="7"/>
      <c r="B173" s="3"/>
    </row>
    <row r="174">
      <c r="A174" s="7"/>
      <c r="B174" s="3"/>
    </row>
    <row r="175">
      <c r="A175" s="7"/>
      <c r="B175" s="3"/>
    </row>
    <row r="176">
      <c r="A176" s="7"/>
      <c r="B176" s="3"/>
    </row>
    <row r="177">
      <c r="A177" s="7"/>
      <c r="B177" s="3"/>
    </row>
    <row r="178">
      <c r="A178" s="7"/>
      <c r="B178" s="3"/>
    </row>
    <row r="179">
      <c r="A179" s="7"/>
      <c r="B179" s="3"/>
    </row>
    <row r="180">
      <c r="A180" s="7"/>
      <c r="B180" s="3"/>
    </row>
    <row r="181">
      <c r="A181" s="7"/>
      <c r="B181" s="3"/>
    </row>
    <row r="182">
      <c r="A182" s="7"/>
      <c r="B182" s="3"/>
    </row>
    <row r="183">
      <c r="A183" s="7"/>
      <c r="B183" s="3"/>
    </row>
    <row r="184">
      <c r="A184" s="7"/>
      <c r="B184" s="3"/>
    </row>
    <row r="185">
      <c r="A185" s="7"/>
      <c r="B185" s="3"/>
    </row>
    <row r="186">
      <c r="A186" s="7"/>
      <c r="B186" s="3"/>
    </row>
    <row r="187">
      <c r="A187" s="7"/>
      <c r="B187" s="3"/>
    </row>
    <row r="188">
      <c r="A188" s="7"/>
      <c r="B188" s="3"/>
    </row>
    <row r="189">
      <c r="A189" s="7"/>
      <c r="B189" s="3"/>
    </row>
    <row r="190">
      <c r="A190" s="7"/>
      <c r="B190" s="3"/>
    </row>
    <row r="191">
      <c r="A191" s="7"/>
      <c r="B191" s="3"/>
    </row>
    <row r="192">
      <c r="A192" s="7"/>
      <c r="B192" s="3"/>
    </row>
    <row r="193">
      <c r="A193" s="7"/>
      <c r="B193" s="3"/>
    </row>
    <row r="194">
      <c r="A194" s="7"/>
      <c r="B194" s="3"/>
    </row>
    <row r="195">
      <c r="A195" s="7"/>
      <c r="B195" s="3"/>
    </row>
    <row r="196">
      <c r="A196" s="7"/>
      <c r="B196" s="3"/>
    </row>
    <row r="197">
      <c r="A197" s="7"/>
      <c r="B197" s="3"/>
    </row>
    <row r="198">
      <c r="A198" s="7"/>
      <c r="B198" s="3"/>
    </row>
    <row r="199">
      <c r="A199" s="7"/>
      <c r="B199" s="3"/>
    </row>
    <row r="200">
      <c r="A200" s="7"/>
      <c r="B200" s="3"/>
    </row>
    <row r="201">
      <c r="A201" s="7"/>
      <c r="B201" s="3"/>
    </row>
    <row r="202">
      <c r="A202" s="7"/>
      <c r="B202" s="3"/>
    </row>
  </sheetData>
  <picture r:id="rId1"/>
</worksheet>
</file>

<file path=xl/worksheets/sheet1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